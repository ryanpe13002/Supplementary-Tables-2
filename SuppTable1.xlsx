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glar/Documents/Banchereau_Lab/Paper_Writing/Long Read RNA Sequencing Identifies Intron Retention as a Major Regulator of STAT2 Function in Lung Adenocarcinoma/SCIENCE/Revisions2/Supplementary Tables/"/>
    </mc:Choice>
  </mc:AlternateContent>
  <xr:revisionPtr revIDLastSave="0" documentId="13_ncr:1_{DCA7B995-48E1-3B4C-B310-6239FE7B75EF}" xr6:coauthVersionLast="47" xr6:coauthVersionMax="47" xr10:uidLastSave="{00000000-0000-0000-0000-000000000000}"/>
  <bookViews>
    <workbookView xWindow="2520" yWindow="760" windowWidth="26640" windowHeight="17500" xr2:uid="{00A0855B-EE9D-114F-93B7-9F733089314B}"/>
  </bookViews>
  <sheets>
    <sheet name="Inventory" sheetId="5" r:id="rId1"/>
    <sheet name="Table S1A" sheetId="2" r:id="rId2"/>
    <sheet name="Table S1B" sheetId="3" r:id="rId3"/>
    <sheet name="Table S1C" sheetId="4" r:id="rId4"/>
    <sheet name="Table S1D" sheetId="7" r:id="rId5"/>
    <sheet name="Table S1E" sheetId="8" r:id="rId6"/>
    <sheet name="Table S1F" sheetId="9" r:id="rId7"/>
    <sheet name="Table S1G" sheetId="10" r:id="rId8"/>
    <sheet name="Table S1H" sheetId="6" r:id="rId9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4" l="1"/>
  <c r="D68" i="4"/>
  <c r="E68" i="4"/>
  <c r="F68" i="4"/>
  <c r="G68" i="4"/>
  <c r="G70" i="4" s="1"/>
  <c r="H68" i="4"/>
  <c r="H70" i="4" s="1"/>
  <c r="I68" i="4"/>
  <c r="J68" i="4"/>
  <c r="K68" i="4"/>
  <c r="L68" i="4"/>
  <c r="M68" i="4"/>
  <c r="B68" i="4"/>
  <c r="C69" i="4"/>
  <c r="D69" i="4"/>
  <c r="E69" i="4"/>
  <c r="F69" i="4"/>
  <c r="G69" i="4"/>
  <c r="H69" i="4"/>
  <c r="I69" i="4"/>
  <c r="J69" i="4"/>
  <c r="K69" i="4"/>
  <c r="L69" i="4"/>
  <c r="L70" i="4" s="1"/>
  <c r="M69" i="4"/>
  <c r="B69" i="4"/>
  <c r="J70" i="4" l="1"/>
  <c r="B70" i="4"/>
  <c r="F70" i="4"/>
  <c r="I70" i="4"/>
  <c r="M70" i="4"/>
  <c r="E70" i="4"/>
  <c r="D70" i="4"/>
  <c r="K70" i="4"/>
  <c r="C70" i="4"/>
</calcChain>
</file>

<file path=xl/sharedStrings.xml><?xml version="1.0" encoding="utf-8"?>
<sst xmlns="http://schemas.openxmlformats.org/spreadsheetml/2006/main" count="244" uniqueCount="130">
  <si>
    <t>Classification</t>
  </si>
  <si>
    <t>LUAD</t>
  </si>
  <si>
    <t>Origin</t>
  </si>
  <si>
    <t>Primary tumor</t>
  </si>
  <si>
    <t>HH1-283T</t>
  </si>
  <si>
    <t>HH1-491T</t>
  </si>
  <si>
    <t>HH1-547T</t>
  </si>
  <si>
    <t>HH1-577T</t>
  </si>
  <si>
    <t>HH1-618T</t>
  </si>
  <si>
    <t>HH1-637T</t>
  </si>
  <si>
    <t>HH1-664T</t>
  </si>
  <si>
    <t>HH1-850T</t>
  </si>
  <si>
    <t>HH1-884T</t>
  </si>
  <si>
    <t>HH1-991T</t>
  </si>
  <si>
    <t>HH1-317T</t>
  </si>
  <si>
    <t>HH1-768T</t>
  </si>
  <si>
    <t>Age</t>
  </si>
  <si>
    <t>Sex</t>
  </si>
  <si>
    <t>M</t>
  </si>
  <si>
    <t>F</t>
  </si>
  <si>
    <t>Race</t>
  </si>
  <si>
    <t>Ethnicity</t>
  </si>
  <si>
    <t>White or Caucasian</t>
  </si>
  <si>
    <t>Not Hispanic or Latino</t>
  </si>
  <si>
    <t>Histology</t>
  </si>
  <si>
    <t>Mixed invasive mucinous and non-mucinous adenocarcinoma, micropapillary predominant</t>
  </si>
  <si>
    <t>invasive adenocarcinoma, acinar predominant</t>
  </si>
  <si>
    <t>Grade</t>
  </si>
  <si>
    <t>N/A</t>
  </si>
  <si>
    <t>Primary tumor: pT1c; Regional lymph nodes: pN0; AJCCstage: IA3</t>
  </si>
  <si>
    <t>Invasive adenocarcinoma, papillary predominant</t>
  </si>
  <si>
    <t>Primary tumor: pT2b; Regional lymph nodes: pN0; AJCCstage: IIA</t>
  </si>
  <si>
    <t>G3: Poorly differentiated</t>
  </si>
  <si>
    <t>Black or African American</t>
  </si>
  <si>
    <t>Primary tumor: pT2a; Regional lymph nodes: pN0; AJCCstage: IB</t>
  </si>
  <si>
    <t>G2: Moderately differentiated</t>
  </si>
  <si>
    <t>Invasive adenocarcinoma, lepidic predominant</t>
  </si>
  <si>
    <t>Primary tumor: pT1b; Regional lymph nodes: pN0; AJCCstage: IA2</t>
  </si>
  <si>
    <t>Pathological stage</t>
  </si>
  <si>
    <t>G1: Well differentiated</t>
  </si>
  <si>
    <t>invasive lung adencarcinoma</t>
  </si>
  <si>
    <t>Primary tumor: pT1c; Regional lymph nodes: pN1; AJCC stage: IIB</t>
  </si>
  <si>
    <t>invasive adenocarcinoma, micropapillary predominant</t>
  </si>
  <si>
    <t>Primary tumor: pT3; Regional lymph nodes: pN0; AJCCstage: IIB</t>
  </si>
  <si>
    <t>Primary tumor: pT1b; regional lymph nodes: pN0; AJCC stage: IA2</t>
  </si>
  <si>
    <t xml:space="preserve">Invasive adenocarcinoma, acinar predominant </t>
  </si>
  <si>
    <t>Mixed invasive mucinous and non-mucinous adenocarcinoma</t>
  </si>
  <si>
    <t>Primary tumor: pT1cRegional lymph nodes: pN2; AJCCstage: IIIA</t>
  </si>
  <si>
    <t>Patient ID</t>
  </si>
  <si>
    <t>%GC</t>
  </si>
  <si>
    <t>45-10425</t>
  </si>
  <si>
    <t>44-10417</t>
  </si>
  <si>
    <t>98-12666</t>
  </si>
  <si>
    <t>104-12685</t>
  </si>
  <si>
    <t>104-17376</t>
  </si>
  <si>
    <t>108-14021</t>
  </si>
  <si>
    <t>112-14177</t>
  </si>
  <si>
    <t>132-16543</t>
  </si>
  <si>
    <t>120-13960</t>
  </si>
  <si>
    <t>101-14193</t>
  </si>
  <si>
    <t>104-15335</t>
  </si>
  <si>
    <t>95-33958</t>
  </si>
  <si>
    <t>m64039_200407_105902</t>
  </si>
  <si>
    <t>m64119_200411_004925</t>
  </si>
  <si>
    <t>m64119e_221102_160358</t>
  </si>
  <si>
    <t>m64119e_221108_220547</t>
  </si>
  <si>
    <t>m64119e_221109_220448</t>
  </si>
  <si>
    <t>m64119e_221110_221618</t>
  </si>
  <si>
    <t>m64119e_221111_222748</t>
  </si>
  <si>
    <t>m64119e_221118_032046</t>
  </si>
  <si>
    <t>m64119e_221119_033218</t>
  </si>
  <si>
    <t>m64119e_221120_034339</t>
  </si>
  <si>
    <t>m64119e_221128_160521</t>
  </si>
  <si>
    <t>m64119e_221129_161659</t>
  </si>
  <si>
    <t>Mean sequence quality (Phred score)</t>
  </si>
  <si>
    <t>Number of sequences (total)</t>
  </si>
  <si>
    <t>Number of sequences (mean Phred≥50)</t>
  </si>
  <si>
    <t>Sequences, mean Phred≥50 (% of total)</t>
  </si>
  <si>
    <t>Library name</t>
  </si>
  <si>
    <t>Number of circular consensus sequence (CCS) reads</t>
  </si>
  <si>
    <t>Read length, average</t>
  </si>
  <si>
    <t>Read length, range</t>
  </si>
  <si>
    <t>High accuracy CCS reads (mean Phred score≥50, % of total)</t>
  </si>
  <si>
    <t>Sample collection date (YYYYMMDD)</t>
  </si>
  <si>
    <t>Table S1. Patient and LR-seq library metadata</t>
  </si>
  <si>
    <r>
      <t>Table S1A</t>
    </r>
    <r>
      <rPr>
        <sz val="11"/>
        <color theme="1"/>
        <rFont val="Arial"/>
        <family val="2"/>
      </rPr>
      <t>. Clinical characteristics of patients selected for LR-seq</t>
    </r>
  </si>
  <si>
    <r>
      <t>Table S1B</t>
    </r>
    <r>
      <rPr>
        <sz val="11"/>
        <color theme="1"/>
        <rFont val="Arial"/>
        <family val="2"/>
      </rPr>
      <t>. LR-seq library summary statistics</t>
    </r>
  </si>
  <si>
    <r>
      <t>Table S1C</t>
    </r>
    <r>
      <rPr>
        <sz val="11"/>
        <color theme="1"/>
        <rFont val="Arial"/>
        <family val="2"/>
      </rPr>
      <t>. LR-seq library number of reads by mean Phread score</t>
    </r>
  </si>
  <si>
    <t>Isoform structural category</t>
  </si>
  <si>
    <t>Structural category description</t>
  </si>
  <si>
    <t>Parameters used to define true isoform</t>
  </si>
  <si>
    <t>Reference match (RM)</t>
  </si>
  <si>
    <t>Full splice match (FSM)</t>
  </si>
  <si>
    <t>Incomplete splice match (ISM)</t>
  </si>
  <si>
    <t>Novel in catalog (NIC)</t>
  </si>
  <si>
    <t>Novel not in catalog (NNC)</t>
  </si>
  <si>
    <t>Other</t>
  </si>
  <si>
    <t>Match all splice junctions and have 5' and 3' start/termination sites within 50 bp of a single reference isoform</t>
  </si>
  <si>
    <t>Match all splice junctions and have a start and/or termination site greater than 50 bp from a single reference isoform</t>
  </si>
  <si>
    <t>Putative truncated isoform; all splice junctions in the isoform are found in a closest matching reference isoform, but some of the splice junctions in the reference isoform are missing</t>
  </si>
  <si>
    <t>Isoform contains a at least one novel splice junction composed of a novel combination of known splice sites</t>
  </si>
  <si>
    <t>Isoform contains a at least one novel splice junction containing one novel splice site</t>
  </si>
  <si>
    <t>All other isoform categories (intergenic isoforms, fusion isoforms, antisense isoforms, etc.)</t>
  </si>
  <si>
    <t>Table S1A. Clinical characteristics of patients selected for LR-seq</t>
  </si>
  <si>
    <t>Table S1B. LR-seq library summary statistics</t>
  </si>
  <si>
    <t>Table S1C. LR-seq library number of reads by mean Phread score</t>
  </si>
  <si>
    <t xml:space="preserve">• (Reverse transcription artifact flag FALSE) AND
• (Bite junction artifact flag FALSE) AND
• ( (Isoform termination site within 25 bp of a reference-annotated gene termination site) OR (Internal priming artifact flag perc_A_downstream_TTS FALSE) ) AND
• ( (Minimum SR-seq coverage of 10 reads at all splice junctions) OR (Isoform is mono-exonic) ) </t>
  </si>
  <si>
    <t>• (Reverse transcription artifact flag FALSE) AND
• (Bite junction artifact flag FALSE) AND
• (Minimum SR-seq coverage of 10 reads at all splice junctions) AND
• ( (Isoform start site within 25 bp of a reference-annotated gene start site) OR (Isoform start site within an annotated CAGE peak) ) AND
• ( (Isoform termination site within 25 bp of a reference-annotated gene termination site) OR ( (PolyA motif found within 25 nucleotides upstream of isoform termination site) AND (Internal priming artifact flag perc_A_downstream_TTS FALSE) ) )</t>
  </si>
  <si>
    <t>• (Reverse transcription artifact flag FALSE) AND
• (Bite junction artifact flag FALSE) AND
• ( (Isoform termination site within 25 bp of a reference-annotated gene termination site) OR (Internal priming artifact flag perc_A_downstream_TTS FALSE) ) AND
• ( ( (Minimum SR-seq coverage of 10 reads at all splice junctions) AND (All splice junctions are canonical) ) OR ( (Minimum SR-seq coverage of 50 reads at all splice junctions) AND (Non-canonical splice junctions are present) ) OR ( (Isoform is mono-exonic) AND (Internal priming artifact flag perc_A_downstream_TTS FALSE) ) )</t>
  </si>
  <si>
    <t>• (Reverse transcription artifact flag FALSE) AND
• (Bite junction artifact flag FALSE) AND
• ( (Isoform termination site within 25 bp of a reference-annotated gene termination site) OR (Internal priming artifact flag perc_A_downstream_TTS FALSE) ) AND
• ( ( (Minimum SR-seq coverage of 10 reads at all splice junctions) AND (All splice junctions are canonical) ) OR ( (Minimum SR-seq coverage of 50 reads at all splice junctions) AND (Non-canonical splice junctions are present) ) )</t>
  </si>
  <si>
    <t>• (Reverse transcription artifact flag FALSE) AND
• (Internal priming artifact flag perc_A_downstream_TTS FALSE) AND
• (  (Bite junction artifact flag FALSE) AND (Minimum SR-seq coverage of 10 reads at all splice junctions) AND (All splice junctions are canonical) ) OR ( Isoform is mono-exonic)</t>
  </si>
  <si>
    <t>TSS tolerance (bp)</t>
  </si>
  <si>
    <t>RM</t>
  </si>
  <si>
    <t>FSM</t>
  </si>
  <si>
    <t>ISM</t>
  </si>
  <si>
    <t>NIC</t>
  </si>
  <si>
    <t>NNC</t>
  </si>
  <si>
    <t>Table S1E. Effect of TTS stringency on isoform filtering</t>
  </si>
  <si>
    <t>TTS tolerance (bp)</t>
  </si>
  <si>
    <t>CAGE tolerance (bp)</t>
  </si>
  <si>
    <t>PolyA tolerance (bp)</t>
  </si>
  <si>
    <t>Table S1H. Filtering parameters for LR-seq isoforms by SQANTI3 structural category</t>
  </si>
  <si>
    <t>Table S1D. Effect of TSS stringency on isoform filtering</t>
  </si>
  <si>
    <t>Table S1G. Effect of polyA distance stringency on isoform filtering</t>
  </si>
  <si>
    <r>
      <t xml:space="preserve">Table S1D. </t>
    </r>
    <r>
      <rPr>
        <sz val="11"/>
        <color rgb="FF000000"/>
        <rFont val="Arial"/>
        <family val="2"/>
      </rPr>
      <t>Effect of TSS stringency on isoform filtering</t>
    </r>
  </si>
  <si>
    <r>
      <t xml:space="preserve">Table S1E. </t>
    </r>
    <r>
      <rPr>
        <sz val="11"/>
        <color rgb="FF000000"/>
        <rFont val="Arial"/>
        <family val="2"/>
      </rPr>
      <t>Effect of TTS stringency on isoform filtering</t>
    </r>
  </si>
  <si>
    <r>
      <t xml:space="preserve">Table S1G. </t>
    </r>
    <r>
      <rPr>
        <sz val="11"/>
        <color rgb="FF000000"/>
        <rFont val="Arial"/>
        <family val="2"/>
      </rPr>
      <t>Effect of polyA distance stringency on isoform filtering</t>
    </r>
  </si>
  <si>
    <r>
      <t>Table S1H</t>
    </r>
    <r>
      <rPr>
        <sz val="11"/>
        <color theme="1"/>
        <rFont val="Arial"/>
        <family val="2"/>
      </rPr>
      <t>. Filtering parameters for LR-seq isoforms by SQANTI3 structural category</t>
    </r>
  </si>
  <si>
    <t>Table S1F. Effect of CAGE peak stringency on isoform filtering</t>
  </si>
  <si>
    <r>
      <t xml:space="preserve">Table S1F. </t>
    </r>
    <r>
      <rPr>
        <sz val="11"/>
        <color rgb="FF000000"/>
        <rFont val="Arial"/>
        <family val="2"/>
      </rPr>
      <t>Effect of CAGE peak stringency on isoform filtering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</si>
</sst>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rialMT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MT"/>
      <family val="2"/>
    </font>
    <font>
      <b/>
      <sz val="1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/>
    <xf numFmtId="0" fontId="3" fillId="3" borderId="1" xfId="0" applyFont="1" applyFill="1" applyBorder="1"/>
    <xf numFmtId="0" fontId="1" fillId="0" borderId="1" xfId="0" applyFont="1" applyBorder="1"/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5" fillId="4" borderId="0" xfId="0" applyFont="1" applyFill="1"/>
    <xf numFmtId="0" fontId="3" fillId="0" borderId="1" xfId="0" applyFont="1" applyBorder="1"/>
    <xf numFmtId="10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5787-0458-2444-9F0B-6BC040E78D11}">
  <dimension ref="A1:A10"/>
  <sheetViews>
    <sheetView tabSelected="1" zoomScale="125" zoomScaleNormal="125" workbookViewId="0">
      <selection activeCell="A9" sqref="A9"/>
    </sheetView>
  </sheetViews>
  <sheetFormatPr baseColWidth="10" defaultRowHeight="16"/>
  <sheetData>
    <row r="1" spans="1:1">
      <c r="A1" s="13" t="s">
        <v>84</v>
      </c>
    </row>
    <row r="2" spans="1:1">
      <c r="A2" s="14"/>
    </row>
    <row r="3" spans="1:1">
      <c r="A3" s="13" t="s">
        <v>85</v>
      </c>
    </row>
    <row r="4" spans="1:1">
      <c r="A4" s="13" t="s">
        <v>86</v>
      </c>
    </row>
    <row r="5" spans="1:1">
      <c r="A5" s="13" t="s">
        <v>87</v>
      </c>
    </row>
    <row r="6" spans="1:1">
      <c r="A6" s="18" t="s">
        <v>124</v>
      </c>
    </row>
    <row r="7" spans="1:1">
      <c r="A7" s="18" t="s">
        <v>125</v>
      </c>
    </row>
    <row r="8" spans="1:1">
      <c r="A8" s="18" t="s">
        <v>129</v>
      </c>
    </row>
    <row r="9" spans="1:1">
      <c r="A9" s="18" t="s">
        <v>126</v>
      </c>
    </row>
    <row r="10" spans="1:1">
      <c r="A10" s="13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E3F9-68A5-BD45-8DB4-44B27C6EDF89}">
  <dimension ref="A1:K15"/>
  <sheetViews>
    <sheetView zoomScale="125" zoomScaleNormal="125" workbookViewId="0"/>
  </sheetViews>
  <sheetFormatPr baseColWidth="10" defaultRowHeight="16"/>
  <cols>
    <col min="1" max="1" width="8" customWidth="1"/>
    <col min="2" max="2" width="10.5703125" bestFit="1" customWidth="1"/>
    <col min="3" max="3" width="10" bestFit="1" customWidth="1"/>
    <col min="4" max="4" width="27.42578125" bestFit="1" customWidth="1"/>
    <col min="5" max="6" width="3.7109375" bestFit="1" customWidth="1"/>
    <col min="7" max="7" width="18" bestFit="1" customWidth="1"/>
    <col min="8" max="8" width="15.5703125" bestFit="1" customWidth="1"/>
    <col min="9" max="9" width="61.140625" bestFit="1" customWidth="1"/>
    <col min="10" max="10" width="45.7109375" bestFit="1" customWidth="1"/>
    <col min="11" max="11" width="20.42578125" bestFit="1" customWidth="1"/>
  </cols>
  <sheetData>
    <row r="1" spans="1:11">
      <c r="A1" s="9" t="s">
        <v>103</v>
      </c>
      <c r="B1" s="9"/>
      <c r="C1" s="9"/>
      <c r="D1" s="9"/>
      <c r="E1" s="9"/>
    </row>
    <row r="3" spans="1:11">
      <c r="A3" s="1" t="s">
        <v>48</v>
      </c>
      <c r="B3" s="1" t="s">
        <v>0</v>
      </c>
      <c r="C3" s="1" t="s">
        <v>2</v>
      </c>
      <c r="D3" s="1" t="s">
        <v>83</v>
      </c>
      <c r="E3" s="1" t="s">
        <v>16</v>
      </c>
      <c r="F3" s="1" t="s">
        <v>17</v>
      </c>
      <c r="G3" s="1" t="s">
        <v>20</v>
      </c>
      <c r="H3" s="1" t="s">
        <v>21</v>
      </c>
      <c r="I3" s="1" t="s">
        <v>24</v>
      </c>
      <c r="J3" s="1" t="s">
        <v>38</v>
      </c>
      <c r="K3" s="1" t="s">
        <v>27</v>
      </c>
    </row>
    <row r="4" spans="1:11">
      <c r="A4" s="5" t="s">
        <v>4</v>
      </c>
      <c r="B4" s="2" t="s">
        <v>1</v>
      </c>
      <c r="C4" s="2" t="s">
        <v>3</v>
      </c>
      <c r="D4" s="2">
        <v>20210401</v>
      </c>
      <c r="E4" s="2">
        <v>48</v>
      </c>
      <c r="F4" s="2" t="s">
        <v>18</v>
      </c>
      <c r="G4" s="2" t="s">
        <v>22</v>
      </c>
      <c r="H4" s="2" t="s">
        <v>23</v>
      </c>
      <c r="I4" s="2" t="s">
        <v>25</v>
      </c>
      <c r="J4" s="7" t="s">
        <v>47</v>
      </c>
      <c r="K4" s="2" t="s">
        <v>28</v>
      </c>
    </row>
    <row r="5" spans="1:11">
      <c r="A5" s="6" t="s">
        <v>5</v>
      </c>
      <c r="B5" s="3" t="s">
        <v>1</v>
      </c>
      <c r="C5" s="4" t="s">
        <v>3</v>
      </c>
      <c r="D5" s="3">
        <v>20211210</v>
      </c>
      <c r="E5" s="4">
        <v>64</v>
      </c>
      <c r="F5" s="3" t="s">
        <v>19</v>
      </c>
      <c r="G5" s="4" t="s">
        <v>22</v>
      </c>
      <c r="H5" s="3" t="s">
        <v>23</v>
      </c>
      <c r="I5" s="4" t="s">
        <v>26</v>
      </c>
      <c r="J5" s="8" t="s">
        <v>29</v>
      </c>
      <c r="K5" s="4" t="s">
        <v>39</v>
      </c>
    </row>
    <row r="6" spans="1:11">
      <c r="A6" s="5" t="s">
        <v>6</v>
      </c>
      <c r="B6" s="2" t="s">
        <v>1</v>
      </c>
      <c r="C6" s="2" t="s">
        <v>3</v>
      </c>
      <c r="D6" s="2">
        <v>20220327</v>
      </c>
      <c r="E6" s="2">
        <v>59</v>
      </c>
      <c r="F6" s="2" t="s">
        <v>19</v>
      </c>
      <c r="G6" s="2" t="s">
        <v>22</v>
      </c>
      <c r="H6" s="2" t="s">
        <v>23</v>
      </c>
      <c r="I6" s="2" t="s">
        <v>30</v>
      </c>
      <c r="J6" s="7" t="s">
        <v>31</v>
      </c>
      <c r="K6" s="2" t="s">
        <v>32</v>
      </c>
    </row>
    <row r="7" spans="1:11">
      <c r="A7" s="6" t="s">
        <v>7</v>
      </c>
      <c r="B7" s="3" t="s">
        <v>1</v>
      </c>
      <c r="C7" s="4" t="s">
        <v>3</v>
      </c>
      <c r="D7" s="3">
        <v>20210702</v>
      </c>
      <c r="E7" s="4">
        <v>56</v>
      </c>
      <c r="F7" s="3" t="s">
        <v>18</v>
      </c>
      <c r="G7" s="4" t="s">
        <v>33</v>
      </c>
      <c r="H7" s="3" t="s">
        <v>23</v>
      </c>
      <c r="I7" s="4" t="s">
        <v>26</v>
      </c>
      <c r="J7" s="8" t="s">
        <v>34</v>
      </c>
      <c r="K7" s="4" t="s">
        <v>35</v>
      </c>
    </row>
    <row r="8" spans="1:11">
      <c r="A8" s="5" t="s">
        <v>8</v>
      </c>
      <c r="B8" s="2" t="s">
        <v>1</v>
      </c>
      <c r="C8" s="2" t="s">
        <v>3</v>
      </c>
      <c r="D8" s="2">
        <v>20220523</v>
      </c>
      <c r="E8" s="2">
        <v>71</v>
      </c>
      <c r="F8" s="2" t="s">
        <v>18</v>
      </c>
      <c r="G8" s="2" t="s">
        <v>22</v>
      </c>
      <c r="H8" s="2" t="s">
        <v>23</v>
      </c>
      <c r="I8" s="2" t="s">
        <v>25</v>
      </c>
      <c r="J8" s="7" t="s">
        <v>34</v>
      </c>
      <c r="K8" s="2" t="s">
        <v>28</v>
      </c>
    </row>
    <row r="9" spans="1:11">
      <c r="A9" s="6" t="s">
        <v>9</v>
      </c>
      <c r="B9" s="3" t="s">
        <v>1</v>
      </c>
      <c r="C9" s="4" t="s">
        <v>3</v>
      </c>
      <c r="D9" s="3">
        <v>20211105</v>
      </c>
      <c r="E9" s="4">
        <v>66</v>
      </c>
      <c r="F9" s="3" t="s">
        <v>19</v>
      </c>
      <c r="G9" s="4" t="s">
        <v>22</v>
      </c>
      <c r="H9" s="3" t="s">
        <v>23</v>
      </c>
      <c r="I9" s="4" t="s">
        <v>36</v>
      </c>
      <c r="J9" s="8" t="s">
        <v>37</v>
      </c>
      <c r="K9" s="4" t="s">
        <v>39</v>
      </c>
    </row>
    <row r="10" spans="1:11">
      <c r="A10" s="5" t="s">
        <v>10</v>
      </c>
      <c r="B10" s="2" t="s">
        <v>1</v>
      </c>
      <c r="C10" s="2" t="s">
        <v>3</v>
      </c>
      <c r="D10" s="2">
        <v>20220613</v>
      </c>
      <c r="E10" s="2">
        <v>62</v>
      </c>
      <c r="F10" s="2" t="s">
        <v>19</v>
      </c>
      <c r="G10" s="2" t="s">
        <v>22</v>
      </c>
      <c r="H10" s="2" t="s">
        <v>23</v>
      </c>
      <c r="I10" s="2" t="s">
        <v>30</v>
      </c>
      <c r="J10" s="7" t="s">
        <v>29</v>
      </c>
      <c r="K10" s="2" t="s">
        <v>28</v>
      </c>
    </row>
    <row r="11" spans="1:11">
      <c r="A11" s="6" t="s">
        <v>11</v>
      </c>
      <c r="B11" s="3" t="s">
        <v>1</v>
      </c>
      <c r="C11" s="4" t="s">
        <v>3</v>
      </c>
      <c r="D11" s="3">
        <v>20210426</v>
      </c>
      <c r="E11" s="4">
        <v>65</v>
      </c>
      <c r="F11" s="3" t="s">
        <v>18</v>
      </c>
      <c r="G11" s="4" t="s">
        <v>22</v>
      </c>
      <c r="H11" s="3" t="s">
        <v>23</v>
      </c>
      <c r="I11" s="4" t="s">
        <v>26</v>
      </c>
      <c r="J11" s="8" t="s">
        <v>29</v>
      </c>
      <c r="K11" s="4" t="s">
        <v>32</v>
      </c>
    </row>
    <row r="12" spans="1:11">
      <c r="A12" s="5" t="s">
        <v>12</v>
      </c>
      <c r="B12" s="2" t="s">
        <v>1</v>
      </c>
      <c r="C12" s="2" t="s">
        <v>3</v>
      </c>
      <c r="D12" s="2">
        <v>20190718</v>
      </c>
      <c r="E12" s="2">
        <v>71</v>
      </c>
      <c r="F12" s="2" t="s">
        <v>19</v>
      </c>
      <c r="G12" s="2" t="s">
        <v>22</v>
      </c>
      <c r="H12" s="2" t="s">
        <v>23</v>
      </c>
      <c r="I12" s="2" t="s">
        <v>40</v>
      </c>
      <c r="J12" s="7" t="s">
        <v>41</v>
      </c>
      <c r="K12" s="2" t="s">
        <v>32</v>
      </c>
    </row>
    <row r="13" spans="1:11">
      <c r="A13" s="6" t="s">
        <v>13</v>
      </c>
      <c r="B13" s="3" t="s">
        <v>1</v>
      </c>
      <c r="C13" s="4" t="s">
        <v>3</v>
      </c>
      <c r="D13" s="3">
        <v>20210122</v>
      </c>
      <c r="E13" s="4">
        <v>59</v>
      </c>
      <c r="F13" s="3" t="s">
        <v>18</v>
      </c>
      <c r="G13" s="4" t="s">
        <v>33</v>
      </c>
      <c r="H13" s="3" t="s">
        <v>23</v>
      </c>
      <c r="I13" s="4" t="s">
        <v>42</v>
      </c>
      <c r="J13" s="8" t="s">
        <v>43</v>
      </c>
      <c r="K13" s="4" t="s">
        <v>28</v>
      </c>
    </row>
    <row r="14" spans="1:11">
      <c r="A14" s="5" t="s">
        <v>14</v>
      </c>
      <c r="B14" s="2" t="s">
        <v>1</v>
      </c>
      <c r="C14" s="2" t="s">
        <v>3</v>
      </c>
      <c r="D14" s="2">
        <v>20191011</v>
      </c>
      <c r="E14" s="2">
        <v>61</v>
      </c>
      <c r="F14" s="2" t="s">
        <v>19</v>
      </c>
      <c r="G14" s="2" t="s">
        <v>33</v>
      </c>
      <c r="H14" s="2" t="s">
        <v>23</v>
      </c>
      <c r="I14" s="2" t="s">
        <v>46</v>
      </c>
      <c r="J14" s="7" t="s">
        <v>44</v>
      </c>
      <c r="K14" s="2" t="s">
        <v>32</v>
      </c>
    </row>
    <row r="15" spans="1:11">
      <c r="A15" s="6" t="s">
        <v>15</v>
      </c>
      <c r="B15" s="3" t="s">
        <v>1</v>
      </c>
      <c r="C15" s="4" t="s">
        <v>3</v>
      </c>
      <c r="D15" s="3">
        <v>20191211</v>
      </c>
      <c r="E15" s="4">
        <v>78</v>
      </c>
      <c r="F15" s="3" t="s">
        <v>19</v>
      </c>
      <c r="G15" s="4" t="s">
        <v>22</v>
      </c>
      <c r="H15" s="3" t="s">
        <v>23</v>
      </c>
      <c r="I15" s="4" t="s">
        <v>45</v>
      </c>
      <c r="J15" s="8" t="s">
        <v>34</v>
      </c>
      <c r="K15" s="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7B65-BE73-4B46-9EDC-680EDABD230E}">
  <dimension ref="A1:G15"/>
  <sheetViews>
    <sheetView zoomScale="125" zoomScaleNormal="125" workbookViewId="0">
      <selection activeCell="C19" sqref="C19"/>
    </sheetView>
  </sheetViews>
  <sheetFormatPr baseColWidth="10" defaultRowHeight="16"/>
  <cols>
    <col min="1" max="1" width="22.7109375" bestFit="1" customWidth="1"/>
    <col min="3" max="3" width="4.42578125" bestFit="1" customWidth="1"/>
    <col min="4" max="4" width="14.140625" bestFit="1" customWidth="1"/>
    <col min="5" max="5" width="15.85546875" bestFit="1" customWidth="1"/>
    <col min="6" max="6" width="17.140625" customWidth="1"/>
    <col min="7" max="7" width="25" customWidth="1"/>
  </cols>
  <sheetData>
    <row r="1" spans="1:7">
      <c r="A1" s="9" t="s">
        <v>104</v>
      </c>
      <c r="B1" s="9"/>
      <c r="C1" s="9"/>
    </row>
    <row r="3" spans="1:7" ht="42">
      <c r="A3" s="1" t="s">
        <v>78</v>
      </c>
      <c r="B3" s="1" t="s">
        <v>48</v>
      </c>
      <c r="C3" s="1" t="s">
        <v>49</v>
      </c>
      <c r="D3" s="1" t="s">
        <v>81</v>
      </c>
      <c r="E3" s="1" t="s">
        <v>80</v>
      </c>
      <c r="F3" s="12" t="s">
        <v>79</v>
      </c>
      <c r="G3" s="12" t="s">
        <v>82</v>
      </c>
    </row>
    <row r="4" spans="1:7">
      <c r="A4" s="10" t="s">
        <v>62</v>
      </c>
      <c r="B4" s="10" t="s">
        <v>15</v>
      </c>
      <c r="C4" s="10">
        <v>48</v>
      </c>
      <c r="D4" s="10" t="s">
        <v>50</v>
      </c>
      <c r="E4" s="10">
        <v>1564.9647957949401</v>
      </c>
      <c r="F4" s="10">
        <v>2583555</v>
      </c>
      <c r="G4" s="11">
        <v>0.99269030463837615</v>
      </c>
    </row>
    <row r="5" spans="1:7">
      <c r="A5" s="10" t="s">
        <v>63</v>
      </c>
      <c r="B5" s="10" t="s">
        <v>14</v>
      </c>
      <c r="C5" s="10">
        <v>49</v>
      </c>
      <c r="D5" s="10" t="s">
        <v>51</v>
      </c>
      <c r="E5" s="10">
        <v>1246.7768210556301</v>
      </c>
      <c r="F5" s="10">
        <v>1077754</v>
      </c>
      <c r="G5" s="11">
        <v>0.9944087426258682</v>
      </c>
    </row>
    <row r="6" spans="1:7">
      <c r="A6" s="10" t="s">
        <v>64</v>
      </c>
      <c r="B6" s="10" t="s">
        <v>4</v>
      </c>
      <c r="C6" s="10">
        <v>49</v>
      </c>
      <c r="D6" s="10" t="s">
        <v>52</v>
      </c>
      <c r="E6" s="10">
        <v>2592.89722401985</v>
      </c>
      <c r="F6" s="10">
        <v>2786079</v>
      </c>
      <c r="G6" s="11">
        <v>0.96858057506624906</v>
      </c>
    </row>
    <row r="7" spans="1:7">
      <c r="A7" s="10" t="s">
        <v>65</v>
      </c>
      <c r="B7" s="10" t="s">
        <v>5</v>
      </c>
      <c r="C7" s="10">
        <v>49</v>
      </c>
      <c r="D7" s="10" t="s">
        <v>53</v>
      </c>
      <c r="E7" s="10">
        <v>2352.8676859212001</v>
      </c>
      <c r="F7" s="10">
        <v>4077359</v>
      </c>
      <c r="G7" s="11">
        <v>0.97675112738417191</v>
      </c>
    </row>
    <row r="8" spans="1:7">
      <c r="A8" s="10" t="s">
        <v>66</v>
      </c>
      <c r="B8" s="10" t="s">
        <v>6</v>
      </c>
      <c r="C8" s="10">
        <v>49</v>
      </c>
      <c r="D8" s="10" t="s">
        <v>54</v>
      </c>
      <c r="E8" s="10">
        <v>2800.4346069725102</v>
      </c>
      <c r="F8" s="10">
        <v>4007048</v>
      </c>
      <c r="G8" s="11">
        <v>0.97428456060421542</v>
      </c>
    </row>
    <row r="9" spans="1:7">
      <c r="A9" s="10" t="s">
        <v>67</v>
      </c>
      <c r="B9" s="10" t="s">
        <v>7</v>
      </c>
      <c r="C9" s="10">
        <v>49</v>
      </c>
      <c r="D9" s="10" t="s">
        <v>55</v>
      </c>
      <c r="E9" s="10">
        <v>2723.08533537323</v>
      </c>
      <c r="F9" s="10">
        <v>4107394</v>
      </c>
      <c r="G9" s="11">
        <v>0.97413932045477014</v>
      </c>
    </row>
    <row r="10" spans="1:7">
      <c r="A10" s="10" t="s">
        <v>68</v>
      </c>
      <c r="B10" s="10" t="s">
        <v>8</v>
      </c>
      <c r="C10" s="10">
        <v>49</v>
      </c>
      <c r="D10" s="10" t="s">
        <v>56</v>
      </c>
      <c r="E10" s="10">
        <v>2332.6288415765298</v>
      </c>
      <c r="F10" s="10">
        <v>4190825</v>
      </c>
      <c r="G10" s="11">
        <v>0.97736674759743014</v>
      </c>
    </row>
    <row r="11" spans="1:7">
      <c r="A11" s="10" t="s">
        <v>69</v>
      </c>
      <c r="B11" s="10" t="s">
        <v>10</v>
      </c>
      <c r="C11" s="10">
        <v>49</v>
      </c>
      <c r="D11" s="10" t="s">
        <v>57</v>
      </c>
      <c r="E11" s="10">
        <v>2627.7526999663301</v>
      </c>
      <c r="F11" s="10">
        <v>2061322</v>
      </c>
      <c r="G11" s="11">
        <v>0.96641427200602337</v>
      </c>
    </row>
    <row r="12" spans="1:7">
      <c r="A12" s="10" t="s">
        <v>70</v>
      </c>
      <c r="B12" s="10" t="s">
        <v>11</v>
      </c>
      <c r="C12" s="10">
        <v>49</v>
      </c>
      <c r="D12" s="10" t="s">
        <v>58</v>
      </c>
      <c r="E12" s="10">
        <v>2405.9968818765901</v>
      </c>
      <c r="F12" s="10">
        <v>3512369</v>
      </c>
      <c r="G12" s="11">
        <v>0.97613548007057349</v>
      </c>
    </row>
    <row r="13" spans="1:7">
      <c r="A13" s="10" t="s">
        <v>71</v>
      </c>
      <c r="B13" s="10" t="s">
        <v>12</v>
      </c>
      <c r="C13" s="10">
        <v>49</v>
      </c>
      <c r="D13" s="10" t="s">
        <v>59</v>
      </c>
      <c r="E13" s="10">
        <v>2477.8413418302098</v>
      </c>
      <c r="F13" s="10">
        <v>3408151</v>
      </c>
      <c r="G13" s="11">
        <v>0.97402726581069909</v>
      </c>
    </row>
    <row r="14" spans="1:7">
      <c r="A14" s="10" t="s">
        <v>72</v>
      </c>
      <c r="B14" s="10" t="s">
        <v>13</v>
      </c>
      <c r="C14" s="10">
        <v>50</v>
      </c>
      <c r="D14" s="10" t="s">
        <v>60</v>
      </c>
      <c r="E14" s="10">
        <v>2459.8828067985501</v>
      </c>
      <c r="F14" s="10">
        <v>4040917</v>
      </c>
      <c r="G14" s="11">
        <v>0.97757934647012057</v>
      </c>
    </row>
    <row r="15" spans="1:7">
      <c r="A15" s="10" t="s">
        <v>73</v>
      </c>
      <c r="B15" s="10" t="s">
        <v>9</v>
      </c>
      <c r="C15" s="10">
        <v>49</v>
      </c>
      <c r="D15" s="10" t="s">
        <v>61</v>
      </c>
      <c r="E15" s="10">
        <v>2741.7101218855501</v>
      </c>
      <c r="F15" s="10">
        <v>4097122</v>
      </c>
      <c r="G15" s="11">
        <v>0.97521479711856274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59D1-A754-1541-B0FC-278919FDF900}">
  <dimension ref="A1:M70"/>
  <sheetViews>
    <sheetView workbookViewId="0">
      <selection activeCell="A3" sqref="A3:F3"/>
    </sheetView>
  </sheetViews>
  <sheetFormatPr baseColWidth="10" defaultRowHeight="16"/>
  <cols>
    <col min="1" max="1" width="28.140625" customWidth="1"/>
    <col min="2" max="3" width="18.5703125" bestFit="1" customWidth="1"/>
    <col min="4" max="13" width="19.42578125" bestFit="1" customWidth="1"/>
  </cols>
  <sheetData>
    <row r="1" spans="1:13">
      <c r="A1" s="9" t="s">
        <v>105</v>
      </c>
      <c r="B1" s="9"/>
      <c r="C1" s="9"/>
    </row>
    <row r="3" spans="1:13">
      <c r="A3" s="1" t="s">
        <v>74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72</v>
      </c>
      <c r="M3" s="1" t="s">
        <v>73</v>
      </c>
    </row>
    <row r="4" spans="1:13">
      <c r="A4" s="10">
        <v>30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1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>
      <c r="A5" s="10">
        <v>31</v>
      </c>
      <c r="B5" s="10">
        <v>0</v>
      </c>
      <c r="C5" s="10">
        <v>0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>
      <c r="A6" s="10">
        <v>32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>
      <c r="A7" s="10">
        <v>33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>
      <c r="A8" s="10">
        <v>34</v>
      </c>
      <c r="B8" s="10">
        <v>1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>
      <c r="A9" s="10">
        <v>35</v>
      </c>
      <c r="B9" s="10">
        <v>1</v>
      </c>
      <c r="C9" s="10">
        <v>0</v>
      </c>
      <c r="D9" s="10">
        <v>0</v>
      </c>
      <c r="E9" s="10">
        <v>0</v>
      </c>
      <c r="F9" s="10">
        <v>1</v>
      </c>
      <c r="G9" s="10">
        <v>0</v>
      </c>
      <c r="H9" s="10">
        <v>2</v>
      </c>
      <c r="I9" s="10">
        <v>1</v>
      </c>
      <c r="J9" s="10">
        <v>0</v>
      </c>
      <c r="K9" s="10">
        <v>1</v>
      </c>
      <c r="L9" s="10">
        <v>0</v>
      </c>
      <c r="M9" s="10">
        <v>0</v>
      </c>
    </row>
    <row r="10" spans="1:13">
      <c r="A10" s="10">
        <v>36</v>
      </c>
      <c r="B10" s="10">
        <v>1</v>
      </c>
      <c r="C10" s="10">
        <v>2</v>
      </c>
      <c r="D10" s="10">
        <v>1</v>
      </c>
      <c r="E10" s="10">
        <v>3</v>
      </c>
      <c r="F10" s="10">
        <v>1</v>
      </c>
      <c r="G10" s="10">
        <v>1</v>
      </c>
      <c r="H10" s="10">
        <v>2</v>
      </c>
      <c r="I10" s="10">
        <v>0</v>
      </c>
      <c r="J10" s="10">
        <v>0</v>
      </c>
      <c r="K10" s="10">
        <v>0</v>
      </c>
      <c r="L10" s="10">
        <v>0</v>
      </c>
      <c r="M10" s="10">
        <v>2</v>
      </c>
    </row>
    <row r="11" spans="1:13">
      <c r="A11" s="10">
        <v>37</v>
      </c>
      <c r="B11" s="10">
        <v>2</v>
      </c>
      <c r="C11" s="10">
        <v>3</v>
      </c>
      <c r="D11" s="10">
        <v>4</v>
      </c>
      <c r="E11" s="10">
        <v>11</v>
      </c>
      <c r="F11" s="10">
        <v>6</v>
      </c>
      <c r="G11" s="10">
        <v>11</v>
      </c>
      <c r="H11" s="10">
        <v>8</v>
      </c>
      <c r="I11" s="10">
        <v>3</v>
      </c>
      <c r="J11" s="10">
        <v>10</v>
      </c>
      <c r="K11" s="10">
        <v>5</v>
      </c>
      <c r="L11" s="10">
        <v>5</v>
      </c>
      <c r="M11" s="10">
        <v>7</v>
      </c>
    </row>
    <row r="12" spans="1:13">
      <c r="A12" s="10">
        <v>38</v>
      </c>
      <c r="B12" s="10">
        <v>6</v>
      </c>
      <c r="C12" s="10">
        <v>4</v>
      </c>
      <c r="D12" s="10">
        <v>42</v>
      </c>
      <c r="E12" s="10">
        <v>51</v>
      </c>
      <c r="F12" s="10">
        <v>63</v>
      </c>
      <c r="G12" s="10">
        <v>66</v>
      </c>
      <c r="H12" s="10">
        <v>71</v>
      </c>
      <c r="I12" s="10">
        <v>45</v>
      </c>
      <c r="J12" s="10">
        <v>43</v>
      </c>
      <c r="K12" s="10">
        <v>35</v>
      </c>
      <c r="L12" s="10">
        <v>31</v>
      </c>
      <c r="M12" s="10">
        <v>49</v>
      </c>
    </row>
    <row r="13" spans="1:13">
      <c r="A13" s="10">
        <v>39</v>
      </c>
      <c r="B13" s="10">
        <v>16</v>
      </c>
      <c r="C13" s="10">
        <v>7</v>
      </c>
      <c r="D13" s="10">
        <v>267</v>
      </c>
      <c r="E13" s="10">
        <v>323</v>
      </c>
      <c r="F13" s="10">
        <v>420</v>
      </c>
      <c r="G13" s="10">
        <v>469</v>
      </c>
      <c r="H13" s="10">
        <v>369</v>
      </c>
      <c r="I13" s="10">
        <v>228</v>
      </c>
      <c r="J13" s="10">
        <v>201</v>
      </c>
      <c r="K13" s="10">
        <v>232</v>
      </c>
      <c r="L13" s="10">
        <v>290</v>
      </c>
      <c r="M13" s="10">
        <v>319</v>
      </c>
    </row>
    <row r="14" spans="1:13">
      <c r="A14" s="10">
        <v>40</v>
      </c>
      <c r="B14" s="10">
        <v>57</v>
      </c>
      <c r="C14" s="10">
        <v>24</v>
      </c>
      <c r="D14" s="10">
        <v>1218</v>
      </c>
      <c r="E14" s="10">
        <v>1372</v>
      </c>
      <c r="F14" s="10">
        <v>1733</v>
      </c>
      <c r="G14" s="10">
        <v>1859</v>
      </c>
      <c r="H14" s="10">
        <v>1594</v>
      </c>
      <c r="I14" s="10">
        <v>1054</v>
      </c>
      <c r="J14" s="10">
        <v>910</v>
      </c>
      <c r="K14" s="10">
        <v>882</v>
      </c>
      <c r="L14" s="10">
        <v>1307</v>
      </c>
      <c r="M14" s="10">
        <v>1430</v>
      </c>
    </row>
    <row r="15" spans="1:13">
      <c r="A15" s="10">
        <v>41</v>
      </c>
      <c r="B15" s="10">
        <v>175</v>
      </c>
      <c r="C15" s="10">
        <v>63</v>
      </c>
      <c r="D15" s="10">
        <v>3321</v>
      </c>
      <c r="E15" s="10">
        <v>3596</v>
      </c>
      <c r="F15" s="10">
        <v>4375</v>
      </c>
      <c r="G15" s="10">
        <v>4690</v>
      </c>
      <c r="H15" s="10">
        <v>3931</v>
      </c>
      <c r="I15" s="10">
        <v>2544</v>
      </c>
      <c r="J15" s="10">
        <v>2612</v>
      </c>
      <c r="K15" s="10">
        <v>2673</v>
      </c>
      <c r="L15" s="10">
        <v>3408</v>
      </c>
      <c r="M15" s="10">
        <v>3873</v>
      </c>
    </row>
    <row r="16" spans="1:13">
      <c r="A16" s="10">
        <v>42</v>
      </c>
      <c r="B16" s="10">
        <v>405</v>
      </c>
      <c r="C16" s="10">
        <v>98</v>
      </c>
      <c r="D16" s="10">
        <v>5848</v>
      </c>
      <c r="E16" s="10">
        <v>6257</v>
      </c>
      <c r="F16" s="10">
        <v>7286</v>
      </c>
      <c r="G16" s="10">
        <v>7519</v>
      </c>
      <c r="H16" s="10">
        <v>6550</v>
      </c>
      <c r="I16" s="10">
        <v>4539</v>
      </c>
      <c r="J16" s="10">
        <v>4896</v>
      </c>
      <c r="K16" s="10">
        <v>5346</v>
      </c>
      <c r="L16" s="10">
        <v>5894</v>
      </c>
      <c r="M16" s="10">
        <v>6923</v>
      </c>
    </row>
    <row r="17" spans="1:13">
      <c r="A17" s="10">
        <v>43</v>
      </c>
      <c r="B17" s="10">
        <v>830</v>
      </c>
      <c r="C17" s="10">
        <v>203</v>
      </c>
      <c r="D17" s="10">
        <v>7857</v>
      </c>
      <c r="E17" s="10">
        <v>8187</v>
      </c>
      <c r="F17" s="10">
        <v>9323</v>
      </c>
      <c r="G17" s="10">
        <v>9749</v>
      </c>
      <c r="H17" s="10">
        <v>8553</v>
      </c>
      <c r="I17" s="10">
        <v>6105</v>
      </c>
      <c r="J17" s="10">
        <v>6974</v>
      </c>
      <c r="K17" s="10">
        <v>7602</v>
      </c>
      <c r="L17" s="10">
        <v>7889</v>
      </c>
      <c r="M17" s="10">
        <v>9142</v>
      </c>
    </row>
    <row r="18" spans="1:13">
      <c r="A18" s="10">
        <v>44</v>
      </c>
      <c r="B18" s="10">
        <v>1271</v>
      </c>
      <c r="C18" s="10">
        <v>345</v>
      </c>
      <c r="D18" s="10">
        <v>9220</v>
      </c>
      <c r="E18" s="10">
        <v>9718</v>
      </c>
      <c r="F18" s="10">
        <v>10899</v>
      </c>
      <c r="G18" s="10">
        <v>11186</v>
      </c>
      <c r="H18" s="10">
        <v>10053</v>
      </c>
      <c r="I18" s="10">
        <v>7428</v>
      </c>
      <c r="J18" s="10">
        <v>8761</v>
      </c>
      <c r="K18" s="10">
        <v>9225</v>
      </c>
      <c r="L18" s="10">
        <v>9489</v>
      </c>
      <c r="M18" s="10">
        <v>10758</v>
      </c>
    </row>
    <row r="19" spans="1:13">
      <c r="A19" s="10">
        <v>45</v>
      </c>
      <c r="B19" s="10">
        <v>1909</v>
      </c>
      <c r="C19" s="10">
        <v>556</v>
      </c>
      <c r="D19" s="10">
        <v>10507</v>
      </c>
      <c r="E19" s="10">
        <v>11158</v>
      </c>
      <c r="F19" s="10">
        <v>12138</v>
      </c>
      <c r="G19" s="10">
        <v>12558</v>
      </c>
      <c r="H19" s="10">
        <v>11046</v>
      </c>
      <c r="I19" s="10">
        <v>8256</v>
      </c>
      <c r="J19" s="10">
        <v>9892</v>
      </c>
      <c r="K19" s="10">
        <v>10926</v>
      </c>
      <c r="L19" s="10">
        <v>10635</v>
      </c>
      <c r="M19" s="10">
        <v>11886</v>
      </c>
    </row>
    <row r="20" spans="1:13">
      <c r="A20" s="10">
        <v>46</v>
      </c>
      <c r="B20" s="10">
        <v>2690</v>
      </c>
      <c r="C20" s="10">
        <v>868</v>
      </c>
      <c r="D20" s="10">
        <v>11386</v>
      </c>
      <c r="E20" s="10">
        <v>12037</v>
      </c>
      <c r="F20" s="10">
        <v>12978</v>
      </c>
      <c r="G20" s="10">
        <v>13430</v>
      </c>
      <c r="H20" s="10">
        <v>12075</v>
      </c>
      <c r="I20" s="10">
        <v>8959</v>
      </c>
      <c r="J20" s="10">
        <v>10862</v>
      </c>
      <c r="K20" s="10">
        <v>11579</v>
      </c>
      <c r="L20" s="10">
        <v>12001</v>
      </c>
      <c r="M20" s="10">
        <v>12986</v>
      </c>
    </row>
    <row r="21" spans="1:13">
      <c r="A21" s="10">
        <v>47</v>
      </c>
      <c r="B21" s="10">
        <v>3361</v>
      </c>
      <c r="C21" s="10">
        <v>1058</v>
      </c>
      <c r="D21" s="10">
        <v>12040</v>
      </c>
      <c r="E21" s="10">
        <v>13307</v>
      </c>
      <c r="F21" s="10">
        <v>13988</v>
      </c>
      <c r="G21" s="10">
        <v>14154</v>
      </c>
      <c r="H21" s="10">
        <v>12888</v>
      </c>
      <c r="I21" s="10">
        <v>9526</v>
      </c>
      <c r="J21" s="10">
        <v>11893</v>
      </c>
      <c r="K21" s="10">
        <v>12659</v>
      </c>
      <c r="L21" s="10">
        <v>12665</v>
      </c>
      <c r="M21" s="10">
        <v>13985</v>
      </c>
    </row>
    <row r="22" spans="1:13">
      <c r="A22" s="10">
        <v>48</v>
      </c>
      <c r="B22" s="10">
        <v>3792</v>
      </c>
      <c r="C22" s="10">
        <v>1277</v>
      </c>
      <c r="D22" s="10">
        <v>12740</v>
      </c>
      <c r="E22" s="10">
        <v>13858</v>
      </c>
      <c r="F22" s="10">
        <v>14626</v>
      </c>
      <c r="G22" s="10">
        <v>14893</v>
      </c>
      <c r="H22" s="10">
        <v>13629</v>
      </c>
      <c r="I22" s="10">
        <v>9988</v>
      </c>
      <c r="J22" s="10">
        <v>13072</v>
      </c>
      <c r="K22" s="10">
        <v>13366</v>
      </c>
      <c r="L22" s="10">
        <v>13279</v>
      </c>
      <c r="M22" s="10">
        <v>14738</v>
      </c>
    </row>
    <row r="23" spans="1:13">
      <c r="A23" s="10">
        <v>49</v>
      </c>
      <c r="B23" s="10">
        <v>4368</v>
      </c>
      <c r="C23" s="10">
        <v>1517</v>
      </c>
      <c r="D23" s="10">
        <v>13086</v>
      </c>
      <c r="E23" s="10">
        <v>14914</v>
      </c>
      <c r="F23" s="10">
        <v>15206</v>
      </c>
      <c r="G23" s="10">
        <v>15635</v>
      </c>
      <c r="H23" s="10">
        <v>14080</v>
      </c>
      <c r="I23" s="10">
        <v>10555</v>
      </c>
      <c r="J23" s="10">
        <v>13695</v>
      </c>
      <c r="K23" s="10">
        <v>13988</v>
      </c>
      <c r="L23" s="10">
        <v>13707</v>
      </c>
      <c r="M23" s="10">
        <v>15450</v>
      </c>
    </row>
    <row r="24" spans="1:13">
      <c r="A24" s="10">
        <v>50</v>
      </c>
      <c r="B24" s="10">
        <v>4847</v>
      </c>
      <c r="C24" s="10">
        <v>1555</v>
      </c>
      <c r="D24" s="10">
        <v>13416</v>
      </c>
      <c r="E24" s="10">
        <v>15362</v>
      </c>
      <c r="F24" s="10">
        <v>15748</v>
      </c>
      <c r="G24" s="10">
        <v>16237</v>
      </c>
      <c r="H24" s="10">
        <v>14742</v>
      </c>
      <c r="I24" s="10">
        <v>10953</v>
      </c>
      <c r="J24" s="10">
        <v>14383</v>
      </c>
      <c r="K24" s="10">
        <v>14577</v>
      </c>
      <c r="L24" s="10">
        <v>14378</v>
      </c>
      <c r="M24" s="10">
        <v>15967</v>
      </c>
    </row>
    <row r="25" spans="1:13">
      <c r="A25" s="10">
        <v>51</v>
      </c>
      <c r="B25" s="10">
        <v>5087</v>
      </c>
      <c r="C25" s="10">
        <v>1735</v>
      </c>
      <c r="D25" s="10">
        <v>13541</v>
      </c>
      <c r="E25" s="10">
        <v>16147</v>
      </c>
      <c r="F25" s="10">
        <v>16159</v>
      </c>
      <c r="G25" s="10">
        <v>16713</v>
      </c>
      <c r="H25" s="10">
        <v>14948</v>
      </c>
      <c r="I25" s="10">
        <v>11044</v>
      </c>
      <c r="J25" s="10">
        <v>15037</v>
      </c>
      <c r="K25" s="10">
        <v>15184</v>
      </c>
      <c r="L25" s="10">
        <v>15036</v>
      </c>
      <c r="M25" s="10">
        <v>16373</v>
      </c>
    </row>
    <row r="26" spans="1:13">
      <c r="A26" s="10">
        <v>52</v>
      </c>
      <c r="B26" s="10">
        <v>5431</v>
      </c>
      <c r="C26" s="10">
        <v>1832</v>
      </c>
      <c r="D26" s="10">
        <v>13923</v>
      </c>
      <c r="E26" s="10">
        <v>16751</v>
      </c>
      <c r="F26" s="10">
        <v>16673</v>
      </c>
      <c r="G26" s="10">
        <v>16795</v>
      </c>
      <c r="H26" s="10">
        <v>15445</v>
      </c>
      <c r="I26" s="10">
        <v>11221</v>
      </c>
      <c r="J26" s="10">
        <v>15548</v>
      </c>
      <c r="K26" s="10">
        <v>15398</v>
      </c>
      <c r="L26" s="10">
        <v>15379</v>
      </c>
      <c r="M26" s="10">
        <v>16613</v>
      </c>
    </row>
    <row r="27" spans="1:13">
      <c r="A27" s="10">
        <v>53</v>
      </c>
      <c r="B27" s="10">
        <v>5438</v>
      </c>
      <c r="C27" s="10">
        <v>1917</v>
      </c>
      <c r="D27" s="10">
        <v>14016</v>
      </c>
      <c r="E27" s="10">
        <v>16837</v>
      </c>
      <c r="F27" s="10">
        <v>16792</v>
      </c>
      <c r="G27" s="10">
        <v>17260</v>
      </c>
      <c r="H27" s="10">
        <v>15726</v>
      </c>
      <c r="I27" s="10">
        <v>11240</v>
      </c>
      <c r="J27" s="10">
        <v>15821</v>
      </c>
      <c r="K27" s="10">
        <v>15771</v>
      </c>
      <c r="L27" s="10">
        <v>15466</v>
      </c>
      <c r="M27" s="10">
        <v>16965</v>
      </c>
    </row>
    <row r="28" spans="1:13">
      <c r="A28" s="10">
        <v>54</v>
      </c>
      <c r="B28" s="10">
        <v>5755</v>
      </c>
      <c r="C28" s="10">
        <v>1965</v>
      </c>
      <c r="D28" s="10">
        <v>13924</v>
      </c>
      <c r="E28" s="10">
        <v>17264</v>
      </c>
      <c r="F28" s="10">
        <v>17014</v>
      </c>
      <c r="G28" s="10">
        <v>17087</v>
      </c>
      <c r="H28" s="10">
        <v>15776</v>
      </c>
      <c r="I28" s="10">
        <v>11317</v>
      </c>
      <c r="J28" s="10">
        <v>16220</v>
      </c>
      <c r="K28" s="10">
        <v>15908</v>
      </c>
      <c r="L28" s="10">
        <v>15728</v>
      </c>
      <c r="M28" s="10">
        <v>16955</v>
      </c>
    </row>
    <row r="29" spans="1:13">
      <c r="A29" s="10">
        <v>55</v>
      </c>
      <c r="B29" s="10">
        <v>5814</v>
      </c>
      <c r="C29" s="10">
        <v>2123</v>
      </c>
      <c r="D29" s="10">
        <v>13870</v>
      </c>
      <c r="E29" s="10">
        <v>17585</v>
      </c>
      <c r="F29" s="10">
        <v>16793</v>
      </c>
      <c r="G29" s="10">
        <v>17380</v>
      </c>
      <c r="H29" s="10">
        <v>16025</v>
      </c>
      <c r="I29" s="10">
        <v>11324</v>
      </c>
      <c r="J29" s="10">
        <v>16736</v>
      </c>
      <c r="K29" s="10">
        <v>15996</v>
      </c>
      <c r="L29" s="10">
        <v>15838</v>
      </c>
      <c r="M29" s="10">
        <v>17116</v>
      </c>
    </row>
    <row r="30" spans="1:13">
      <c r="A30" s="10">
        <v>56</v>
      </c>
      <c r="B30" s="10">
        <v>6042</v>
      </c>
      <c r="C30" s="10">
        <v>2152</v>
      </c>
      <c r="D30" s="10">
        <v>13776</v>
      </c>
      <c r="E30" s="10">
        <v>17595</v>
      </c>
      <c r="F30" s="10">
        <v>17118</v>
      </c>
      <c r="G30" s="10">
        <v>17273</v>
      </c>
      <c r="H30" s="10">
        <v>16194</v>
      </c>
      <c r="I30" s="10">
        <v>11308</v>
      </c>
      <c r="J30" s="10">
        <v>16767</v>
      </c>
      <c r="K30" s="10">
        <v>16045</v>
      </c>
      <c r="L30" s="10">
        <v>15937</v>
      </c>
      <c r="M30" s="10">
        <v>17400</v>
      </c>
    </row>
    <row r="31" spans="1:13">
      <c r="A31" s="10">
        <v>57</v>
      </c>
      <c r="B31" s="10">
        <v>6132</v>
      </c>
      <c r="C31" s="10">
        <v>2267</v>
      </c>
      <c r="D31" s="10">
        <v>14040</v>
      </c>
      <c r="E31" s="10">
        <v>17682</v>
      </c>
      <c r="F31" s="10">
        <v>17311</v>
      </c>
      <c r="G31" s="10">
        <v>17593</v>
      </c>
      <c r="H31" s="10">
        <v>16190</v>
      </c>
      <c r="I31" s="10">
        <v>11527</v>
      </c>
      <c r="J31" s="10">
        <v>17056</v>
      </c>
      <c r="K31" s="10">
        <v>16085</v>
      </c>
      <c r="L31" s="10">
        <v>15926</v>
      </c>
      <c r="M31" s="10">
        <v>17397</v>
      </c>
    </row>
    <row r="32" spans="1:13">
      <c r="A32" s="10">
        <v>58</v>
      </c>
      <c r="B32" s="10">
        <v>6287</v>
      </c>
      <c r="C32" s="10">
        <v>2248</v>
      </c>
      <c r="D32" s="10">
        <v>13995</v>
      </c>
      <c r="E32" s="10">
        <v>18059</v>
      </c>
      <c r="F32" s="10">
        <v>17229</v>
      </c>
      <c r="G32" s="10">
        <v>17762</v>
      </c>
      <c r="H32" s="10">
        <v>16118</v>
      </c>
      <c r="I32" s="10">
        <v>11191</v>
      </c>
      <c r="J32" s="10">
        <v>16951</v>
      </c>
      <c r="K32" s="10">
        <v>16181</v>
      </c>
      <c r="L32" s="10">
        <v>16185</v>
      </c>
      <c r="M32" s="10">
        <v>17633</v>
      </c>
    </row>
    <row r="33" spans="1:13">
      <c r="A33" s="10">
        <v>59</v>
      </c>
      <c r="B33" s="10">
        <v>6463</v>
      </c>
      <c r="C33" s="10">
        <v>2268</v>
      </c>
      <c r="D33" s="10">
        <v>13998</v>
      </c>
      <c r="E33" s="10">
        <v>17918</v>
      </c>
      <c r="F33" s="10">
        <v>17459</v>
      </c>
      <c r="G33" s="10">
        <v>17737</v>
      </c>
      <c r="H33" s="10">
        <v>16644</v>
      </c>
      <c r="I33" s="10">
        <v>11214</v>
      </c>
      <c r="J33" s="10">
        <v>17265</v>
      </c>
      <c r="K33" s="10">
        <v>16574</v>
      </c>
      <c r="L33" s="10">
        <v>16342</v>
      </c>
      <c r="M33" s="10">
        <v>17548</v>
      </c>
    </row>
    <row r="34" spans="1:13">
      <c r="A34" s="10">
        <v>60</v>
      </c>
      <c r="B34" s="10">
        <v>6526</v>
      </c>
      <c r="C34" s="10">
        <v>2280</v>
      </c>
      <c r="D34" s="10">
        <v>14114</v>
      </c>
      <c r="E34" s="10">
        <v>18279</v>
      </c>
      <c r="F34" s="10">
        <v>17696</v>
      </c>
      <c r="G34" s="10">
        <v>18034</v>
      </c>
      <c r="H34" s="10">
        <v>16692</v>
      </c>
      <c r="I34" s="10">
        <v>11599</v>
      </c>
      <c r="J34" s="10">
        <v>17600</v>
      </c>
      <c r="K34" s="10">
        <v>16514</v>
      </c>
      <c r="L34" s="10">
        <v>16608</v>
      </c>
      <c r="M34" s="10">
        <v>17985</v>
      </c>
    </row>
    <row r="35" spans="1:13">
      <c r="A35" s="10">
        <v>61</v>
      </c>
      <c r="B35" s="10">
        <v>6837</v>
      </c>
      <c r="C35" s="10">
        <v>2402</v>
      </c>
      <c r="D35" s="10">
        <v>14112</v>
      </c>
      <c r="E35" s="10">
        <v>18558</v>
      </c>
      <c r="F35" s="10">
        <v>17788</v>
      </c>
      <c r="G35" s="10">
        <v>18413</v>
      </c>
      <c r="H35" s="10">
        <v>16967</v>
      </c>
      <c r="I35" s="10">
        <v>11508</v>
      </c>
      <c r="J35" s="10">
        <v>17531</v>
      </c>
      <c r="K35" s="10">
        <v>16749</v>
      </c>
      <c r="L35" s="10">
        <v>16628</v>
      </c>
      <c r="M35" s="10">
        <v>17781</v>
      </c>
    </row>
    <row r="36" spans="1:13">
      <c r="A36" s="10">
        <v>62</v>
      </c>
      <c r="B36" s="10">
        <v>6854</v>
      </c>
      <c r="C36" s="10">
        <v>2460</v>
      </c>
      <c r="D36" s="10">
        <v>14254</v>
      </c>
      <c r="E36" s="10">
        <v>18778</v>
      </c>
      <c r="F36" s="10">
        <v>18183</v>
      </c>
      <c r="G36" s="10">
        <v>18683</v>
      </c>
      <c r="H36" s="10">
        <v>17180</v>
      </c>
      <c r="I36" s="10">
        <v>11541</v>
      </c>
      <c r="J36" s="10">
        <v>17820</v>
      </c>
      <c r="K36" s="10">
        <v>16714</v>
      </c>
      <c r="L36" s="10">
        <v>16723</v>
      </c>
      <c r="M36" s="10">
        <v>18072</v>
      </c>
    </row>
    <row r="37" spans="1:13">
      <c r="A37" s="10">
        <v>63</v>
      </c>
      <c r="B37" s="10">
        <v>6842</v>
      </c>
      <c r="C37" s="10">
        <v>2568</v>
      </c>
      <c r="D37" s="10">
        <v>14377</v>
      </c>
      <c r="E37" s="10">
        <v>19020</v>
      </c>
      <c r="F37" s="10">
        <v>18352</v>
      </c>
      <c r="G37" s="10">
        <v>18689</v>
      </c>
      <c r="H37" s="10">
        <v>17562</v>
      </c>
      <c r="I37" s="10">
        <v>11449</v>
      </c>
      <c r="J37" s="10">
        <v>18037</v>
      </c>
      <c r="K37" s="10">
        <v>17009</v>
      </c>
      <c r="L37" s="10">
        <v>17081</v>
      </c>
      <c r="M37" s="10">
        <v>18719</v>
      </c>
    </row>
    <row r="38" spans="1:13">
      <c r="A38" s="10">
        <v>64</v>
      </c>
      <c r="B38" s="10">
        <v>6981</v>
      </c>
      <c r="C38" s="10">
        <v>2533</v>
      </c>
      <c r="D38" s="10">
        <v>14747</v>
      </c>
      <c r="E38" s="10">
        <v>19553</v>
      </c>
      <c r="F38" s="10">
        <v>18540</v>
      </c>
      <c r="G38" s="10">
        <v>19073</v>
      </c>
      <c r="H38" s="10">
        <v>17745</v>
      </c>
      <c r="I38" s="10">
        <v>11750</v>
      </c>
      <c r="J38" s="10">
        <v>18315</v>
      </c>
      <c r="K38" s="10">
        <v>16846</v>
      </c>
      <c r="L38" s="10">
        <v>17400</v>
      </c>
      <c r="M38" s="10">
        <v>18743</v>
      </c>
    </row>
    <row r="39" spans="1:13">
      <c r="A39" s="10">
        <v>65</v>
      </c>
      <c r="B39" s="10">
        <v>7405</v>
      </c>
      <c r="C39" s="10">
        <v>2582</v>
      </c>
      <c r="D39" s="10">
        <v>15074</v>
      </c>
      <c r="E39" s="10">
        <v>19904</v>
      </c>
      <c r="F39" s="10">
        <v>19150</v>
      </c>
      <c r="G39" s="10">
        <v>19773</v>
      </c>
      <c r="H39" s="10">
        <v>18371</v>
      </c>
      <c r="I39" s="10">
        <v>11929</v>
      </c>
      <c r="J39" s="10">
        <v>18765</v>
      </c>
      <c r="K39" s="10">
        <v>17498</v>
      </c>
      <c r="L39" s="10">
        <v>17806</v>
      </c>
      <c r="M39" s="10">
        <v>19197</v>
      </c>
    </row>
    <row r="40" spans="1:13">
      <c r="A40" s="10">
        <v>66</v>
      </c>
      <c r="B40" s="10">
        <v>7584</v>
      </c>
      <c r="C40" s="10">
        <v>2695</v>
      </c>
      <c r="D40" s="10">
        <v>15345</v>
      </c>
      <c r="E40" s="10">
        <v>20388</v>
      </c>
      <c r="F40" s="10">
        <v>19565</v>
      </c>
      <c r="G40" s="10">
        <v>19960</v>
      </c>
      <c r="H40" s="10">
        <v>18932</v>
      </c>
      <c r="I40" s="10">
        <v>12336</v>
      </c>
      <c r="J40" s="10">
        <v>18855</v>
      </c>
      <c r="K40" s="10">
        <v>17759</v>
      </c>
      <c r="L40" s="10">
        <v>18213</v>
      </c>
      <c r="M40" s="10">
        <v>19736</v>
      </c>
    </row>
    <row r="41" spans="1:13">
      <c r="A41" s="10">
        <v>67</v>
      </c>
      <c r="B41" s="10">
        <v>7651</v>
      </c>
      <c r="C41" s="10">
        <v>2659</v>
      </c>
      <c r="D41" s="10">
        <v>15674</v>
      </c>
      <c r="E41" s="10">
        <v>21091</v>
      </c>
      <c r="F41" s="10">
        <v>19931</v>
      </c>
      <c r="G41" s="10">
        <v>20295</v>
      </c>
      <c r="H41" s="10">
        <v>19056</v>
      </c>
      <c r="I41" s="10">
        <v>12308</v>
      </c>
      <c r="J41" s="10">
        <v>19407</v>
      </c>
      <c r="K41" s="10">
        <v>18444</v>
      </c>
      <c r="L41" s="10">
        <v>18422</v>
      </c>
      <c r="M41" s="10">
        <v>20210</v>
      </c>
    </row>
    <row r="42" spans="1:13">
      <c r="A42" s="10">
        <v>68</v>
      </c>
      <c r="B42" s="10">
        <v>7723</v>
      </c>
      <c r="C42" s="10">
        <v>2845</v>
      </c>
      <c r="D42" s="10">
        <v>15780</v>
      </c>
      <c r="E42" s="10">
        <v>21222</v>
      </c>
      <c r="F42" s="10">
        <v>20152</v>
      </c>
      <c r="G42" s="10">
        <v>20310</v>
      </c>
      <c r="H42" s="10">
        <v>19551</v>
      </c>
      <c r="I42" s="10">
        <v>12220</v>
      </c>
      <c r="J42" s="10">
        <v>20155</v>
      </c>
      <c r="K42" s="10">
        <v>18834</v>
      </c>
      <c r="L42" s="10">
        <v>18897</v>
      </c>
      <c r="M42" s="10">
        <v>20619</v>
      </c>
    </row>
    <row r="43" spans="1:13">
      <c r="A43" s="10">
        <v>69</v>
      </c>
      <c r="B43" s="10">
        <v>7840</v>
      </c>
      <c r="C43" s="10">
        <v>2806</v>
      </c>
      <c r="D43" s="10">
        <v>15905</v>
      </c>
      <c r="E43" s="10">
        <v>21835</v>
      </c>
      <c r="F43" s="10">
        <v>20396</v>
      </c>
      <c r="G43" s="10">
        <v>20760</v>
      </c>
      <c r="H43" s="10">
        <v>19513</v>
      </c>
      <c r="I43" s="10">
        <v>12578</v>
      </c>
      <c r="J43" s="10">
        <v>20843</v>
      </c>
      <c r="K43" s="10">
        <v>19162</v>
      </c>
      <c r="L43" s="10">
        <v>19043</v>
      </c>
      <c r="M43" s="10">
        <v>20943</v>
      </c>
    </row>
    <row r="44" spans="1:13">
      <c r="A44" s="10">
        <v>70</v>
      </c>
      <c r="B44" s="10">
        <v>8054</v>
      </c>
      <c r="C44" s="10">
        <v>2889</v>
      </c>
      <c r="D44" s="10">
        <v>16021</v>
      </c>
      <c r="E44" s="10">
        <v>21938</v>
      </c>
      <c r="F44" s="10">
        <v>20515</v>
      </c>
      <c r="G44" s="10">
        <v>21373</v>
      </c>
      <c r="H44" s="10">
        <v>19929</v>
      </c>
      <c r="I44" s="10">
        <v>12584</v>
      </c>
      <c r="J44" s="10">
        <v>21071</v>
      </c>
      <c r="K44" s="10">
        <v>19460</v>
      </c>
      <c r="L44" s="10">
        <v>19356</v>
      </c>
      <c r="M44" s="10">
        <v>21121</v>
      </c>
    </row>
    <row r="45" spans="1:13">
      <c r="A45" s="10">
        <v>71</v>
      </c>
      <c r="B45" s="10">
        <v>8313</v>
      </c>
      <c r="C45" s="10">
        <v>2952</v>
      </c>
      <c r="D45" s="10">
        <v>16061</v>
      </c>
      <c r="E45" s="10">
        <v>22474</v>
      </c>
      <c r="F45" s="10">
        <v>21049</v>
      </c>
      <c r="G45" s="10">
        <v>21651</v>
      </c>
      <c r="H45" s="10">
        <v>20250</v>
      </c>
      <c r="I45" s="10">
        <v>12724</v>
      </c>
      <c r="J45" s="10">
        <v>21253</v>
      </c>
      <c r="K45" s="10">
        <v>19663</v>
      </c>
      <c r="L45" s="10">
        <v>19467</v>
      </c>
      <c r="M45" s="10">
        <v>21553</v>
      </c>
    </row>
    <row r="46" spans="1:13">
      <c r="A46" s="10">
        <v>72</v>
      </c>
      <c r="B46" s="10">
        <v>8384</v>
      </c>
      <c r="C46" s="10">
        <v>3070</v>
      </c>
      <c r="D46" s="10">
        <v>16289</v>
      </c>
      <c r="E46" s="10">
        <v>22893</v>
      </c>
      <c r="F46" s="10">
        <v>21548</v>
      </c>
      <c r="G46" s="10">
        <v>22232</v>
      </c>
      <c r="H46" s="10">
        <v>20827</v>
      </c>
      <c r="I46" s="10">
        <v>13075</v>
      </c>
      <c r="J46" s="10">
        <v>21973</v>
      </c>
      <c r="K46" s="10">
        <v>20169</v>
      </c>
      <c r="L46" s="10">
        <v>20095</v>
      </c>
      <c r="M46" s="10">
        <v>22040</v>
      </c>
    </row>
    <row r="47" spans="1:13">
      <c r="A47" s="10">
        <v>73</v>
      </c>
      <c r="B47" s="10">
        <v>8900</v>
      </c>
      <c r="C47" s="10">
        <v>3272</v>
      </c>
      <c r="D47" s="10">
        <v>16702</v>
      </c>
      <c r="E47" s="10">
        <v>23429</v>
      </c>
      <c r="F47" s="10">
        <v>21965</v>
      </c>
      <c r="G47" s="10">
        <v>22394</v>
      </c>
      <c r="H47" s="10">
        <v>21449</v>
      </c>
      <c r="I47" s="10">
        <v>13255</v>
      </c>
      <c r="J47" s="10">
        <v>22640</v>
      </c>
      <c r="K47" s="10">
        <v>20439</v>
      </c>
      <c r="L47" s="10">
        <v>20441</v>
      </c>
      <c r="M47" s="10">
        <v>22458</v>
      </c>
    </row>
    <row r="48" spans="1:13">
      <c r="A48" s="10">
        <v>74</v>
      </c>
      <c r="B48" s="10">
        <v>9125</v>
      </c>
      <c r="C48" s="10">
        <v>3403</v>
      </c>
      <c r="D48" s="10">
        <v>17091</v>
      </c>
      <c r="E48" s="10">
        <v>24001</v>
      </c>
      <c r="F48" s="10">
        <v>22512</v>
      </c>
      <c r="G48" s="10">
        <v>23164</v>
      </c>
      <c r="H48" s="10">
        <v>21570</v>
      </c>
      <c r="I48" s="10">
        <v>13325</v>
      </c>
      <c r="J48" s="10">
        <v>22929</v>
      </c>
      <c r="K48" s="10">
        <v>21387</v>
      </c>
      <c r="L48" s="10">
        <v>21068</v>
      </c>
      <c r="M48" s="10">
        <v>22788</v>
      </c>
    </row>
    <row r="49" spans="1:13">
      <c r="A49" s="10">
        <v>75</v>
      </c>
      <c r="B49" s="10">
        <v>9484</v>
      </c>
      <c r="C49" s="10">
        <v>3415</v>
      </c>
      <c r="D49" s="10">
        <v>17597</v>
      </c>
      <c r="E49" s="10">
        <v>25012</v>
      </c>
      <c r="F49" s="10">
        <v>23082</v>
      </c>
      <c r="G49" s="10">
        <v>23804</v>
      </c>
      <c r="H49" s="10">
        <v>22319</v>
      </c>
      <c r="I49" s="10">
        <v>13816</v>
      </c>
      <c r="J49" s="10">
        <v>23788</v>
      </c>
      <c r="K49" s="10">
        <v>21671</v>
      </c>
      <c r="L49" s="10">
        <v>21918</v>
      </c>
      <c r="M49" s="10">
        <v>23530</v>
      </c>
    </row>
    <row r="50" spans="1:13">
      <c r="A50" s="10">
        <v>76</v>
      </c>
      <c r="B50" s="10">
        <v>10210</v>
      </c>
      <c r="C50" s="10">
        <v>3588</v>
      </c>
      <c r="D50" s="10">
        <v>18110</v>
      </c>
      <c r="E50" s="10">
        <v>26067</v>
      </c>
      <c r="F50" s="10">
        <v>24193</v>
      </c>
      <c r="G50" s="10">
        <v>24820</v>
      </c>
      <c r="H50" s="10">
        <v>23567</v>
      </c>
      <c r="I50" s="10">
        <v>14432</v>
      </c>
      <c r="J50" s="10">
        <v>24423</v>
      </c>
      <c r="K50" s="10">
        <v>22562</v>
      </c>
      <c r="L50" s="10">
        <v>22276</v>
      </c>
      <c r="M50" s="10">
        <v>24253</v>
      </c>
    </row>
    <row r="51" spans="1:13">
      <c r="A51" s="10">
        <v>77</v>
      </c>
      <c r="B51" s="10">
        <v>10548</v>
      </c>
      <c r="C51" s="10">
        <v>3902</v>
      </c>
      <c r="D51" s="10">
        <v>18602</v>
      </c>
      <c r="E51" s="10">
        <v>27227</v>
      </c>
      <c r="F51" s="10">
        <v>25194</v>
      </c>
      <c r="G51" s="10">
        <v>26119</v>
      </c>
      <c r="H51" s="10">
        <v>24667</v>
      </c>
      <c r="I51" s="10">
        <v>14648</v>
      </c>
      <c r="J51" s="10">
        <v>25836</v>
      </c>
      <c r="K51" s="10">
        <v>23338</v>
      </c>
      <c r="L51" s="10">
        <v>23713</v>
      </c>
      <c r="M51" s="10">
        <v>25544</v>
      </c>
    </row>
    <row r="52" spans="1:13">
      <c r="A52" s="10">
        <v>78</v>
      </c>
      <c r="B52" s="10">
        <v>11363</v>
      </c>
      <c r="C52" s="10">
        <v>4336</v>
      </c>
      <c r="D52" s="10">
        <v>19533</v>
      </c>
      <c r="E52" s="10">
        <v>28714</v>
      </c>
      <c r="F52" s="10">
        <v>26535</v>
      </c>
      <c r="G52" s="10">
        <v>27379</v>
      </c>
      <c r="H52" s="10">
        <v>25998</v>
      </c>
      <c r="I52" s="10">
        <v>15338</v>
      </c>
      <c r="J52" s="10">
        <v>27201</v>
      </c>
      <c r="K52" s="10">
        <v>24566</v>
      </c>
      <c r="L52" s="10">
        <v>25273</v>
      </c>
      <c r="M52" s="10">
        <v>27027</v>
      </c>
    </row>
    <row r="53" spans="1:13">
      <c r="A53" s="10">
        <v>79</v>
      </c>
      <c r="B53" s="10">
        <v>12242</v>
      </c>
      <c r="C53" s="10">
        <v>4520</v>
      </c>
      <c r="D53" s="10">
        <v>20734</v>
      </c>
      <c r="E53" s="10">
        <v>30900</v>
      </c>
      <c r="F53" s="10">
        <v>28801</v>
      </c>
      <c r="G53" s="10">
        <v>29291</v>
      </c>
      <c r="H53" s="10">
        <v>27376</v>
      </c>
      <c r="I53" s="10">
        <v>16021</v>
      </c>
      <c r="J53" s="10">
        <v>28779</v>
      </c>
      <c r="K53" s="10">
        <v>25455</v>
      </c>
      <c r="L53" s="10">
        <v>26538</v>
      </c>
      <c r="M53" s="10">
        <v>28398</v>
      </c>
    </row>
    <row r="54" spans="1:13">
      <c r="A54" s="10">
        <v>80</v>
      </c>
      <c r="B54" s="10">
        <v>13509</v>
      </c>
      <c r="C54" s="10">
        <v>4897</v>
      </c>
      <c r="D54" s="10">
        <v>22489</v>
      </c>
      <c r="E54" s="10">
        <v>32884</v>
      </c>
      <c r="F54" s="10">
        <v>30547</v>
      </c>
      <c r="G54" s="10">
        <v>31179</v>
      </c>
      <c r="H54" s="10">
        <v>29888</v>
      </c>
      <c r="I54" s="10">
        <v>17223</v>
      </c>
      <c r="J54" s="10">
        <v>30335</v>
      </c>
      <c r="K54" s="10">
        <v>27693</v>
      </c>
      <c r="L54" s="10">
        <v>28724</v>
      </c>
      <c r="M54" s="10">
        <v>30766</v>
      </c>
    </row>
    <row r="55" spans="1:13">
      <c r="A55" s="10">
        <v>81</v>
      </c>
      <c r="B55" s="10">
        <v>14505</v>
      </c>
      <c r="C55" s="10">
        <v>5374</v>
      </c>
      <c r="D55" s="10">
        <v>24603</v>
      </c>
      <c r="E55" s="10">
        <v>35922</v>
      </c>
      <c r="F55" s="10">
        <v>33014</v>
      </c>
      <c r="G55" s="10">
        <v>33658</v>
      </c>
      <c r="H55" s="10">
        <v>32475</v>
      </c>
      <c r="I55" s="10">
        <v>18619</v>
      </c>
      <c r="J55" s="10">
        <v>33329</v>
      </c>
      <c r="K55" s="10">
        <v>30113</v>
      </c>
      <c r="L55" s="10">
        <v>31444</v>
      </c>
      <c r="M55" s="10">
        <v>33430</v>
      </c>
    </row>
    <row r="56" spans="1:13">
      <c r="A56" s="10">
        <v>82</v>
      </c>
      <c r="B56" s="10">
        <v>15966</v>
      </c>
      <c r="C56" s="10">
        <v>5828</v>
      </c>
      <c r="D56" s="10">
        <v>26953</v>
      </c>
      <c r="E56" s="10">
        <v>39888</v>
      </c>
      <c r="F56" s="10">
        <v>35932</v>
      </c>
      <c r="G56" s="10">
        <v>37058</v>
      </c>
      <c r="H56" s="10">
        <v>35488</v>
      </c>
      <c r="I56" s="10">
        <v>20595</v>
      </c>
      <c r="J56" s="10">
        <v>36717</v>
      </c>
      <c r="K56" s="10">
        <v>33897</v>
      </c>
      <c r="L56" s="10">
        <v>34388</v>
      </c>
      <c r="M56" s="10">
        <v>37090</v>
      </c>
    </row>
    <row r="57" spans="1:13">
      <c r="A57" s="10">
        <v>83</v>
      </c>
      <c r="B57" s="10">
        <v>17281</v>
      </c>
      <c r="C57" s="10">
        <v>6459</v>
      </c>
      <c r="D57" s="10">
        <v>29187</v>
      </c>
      <c r="E57" s="10">
        <v>43386</v>
      </c>
      <c r="F57" s="10">
        <v>39072</v>
      </c>
      <c r="G57" s="10">
        <v>40477</v>
      </c>
      <c r="H57" s="10">
        <v>39128</v>
      </c>
      <c r="I57" s="10">
        <v>22765</v>
      </c>
      <c r="J57" s="10">
        <v>41552</v>
      </c>
      <c r="K57" s="10">
        <v>38315</v>
      </c>
      <c r="L57" s="10">
        <v>37393</v>
      </c>
      <c r="M57" s="10">
        <v>41377</v>
      </c>
    </row>
    <row r="58" spans="1:13">
      <c r="A58" s="10">
        <v>84</v>
      </c>
      <c r="B58" s="10">
        <v>19682</v>
      </c>
      <c r="C58" s="10">
        <v>7317</v>
      </c>
      <c r="D58" s="10">
        <v>31799</v>
      </c>
      <c r="E58" s="10">
        <v>47561</v>
      </c>
      <c r="F58" s="10">
        <v>42450</v>
      </c>
      <c r="G58" s="10">
        <v>44763</v>
      </c>
      <c r="H58" s="10">
        <v>42963</v>
      </c>
      <c r="I58" s="10">
        <v>24436</v>
      </c>
      <c r="J58" s="10">
        <v>45706</v>
      </c>
      <c r="K58" s="10">
        <v>41490</v>
      </c>
      <c r="L58" s="10">
        <v>40801</v>
      </c>
      <c r="M58" s="10">
        <v>44496</v>
      </c>
    </row>
    <row r="59" spans="1:13">
      <c r="A59" s="10">
        <v>85</v>
      </c>
      <c r="B59" s="10">
        <v>22179</v>
      </c>
      <c r="C59" s="10">
        <v>8237</v>
      </c>
      <c r="D59" s="10">
        <v>34918</v>
      </c>
      <c r="E59" s="10">
        <v>52381</v>
      </c>
      <c r="F59" s="10">
        <v>47738</v>
      </c>
      <c r="G59" s="10">
        <v>49710</v>
      </c>
      <c r="H59" s="10">
        <v>47550</v>
      </c>
      <c r="I59" s="10">
        <v>26716</v>
      </c>
      <c r="J59" s="10">
        <v>50253</v>
      </c>
      <c r="K59" s="10">
        <v>45622</v>
      </c>
      <c r="L59" s="10">
        <v>45671</v>
      </c>
      <c r="M59" s="10">
        <v>49744</v>
      </c>
    </row>
    <row r="60" spans="1:13">
      <c r="A60" s="10">
        <v>86</v>
      </c>
      <c r="B60" s="10">
        <v>25518</v>
      </c>
      <c r="C60" s="10">
        <v>9792</v>
      </c>
      <c r="D60" s="10">
        <v>39586</v>
      </c>
      <c r="E60" s="10">
        <v>59506</v>
      </c>
      <c r="F60" s="10">
        <v>54766</v>
      </c>
      <c r="G60" s="10">
        <v>56835</v>
      </c>
      <c r="H60" s="10">
        <v>54592</v>
      </c>
      <c r="I60" s="10">
        <v>30333</v>
      </c>
      <c r="J60" s="10">
        <v>56070</v>
      </c>
      <c r="K60" s="10">
        <v>51084</v>
      </c>
      <c r="L60" s="10">
        <v>52624</v>
      </c>
      <c r="M60" s="10">
        <v>56641</v>
      </c>
    </row>
    <row r="61" spans="1:13">
      <c r="A61" s="10">
        <v>87</v>
      </c>
      <c r="B61" s="10">
        <v>30308</v>
      </c>
      <c r="C61" s="10">
        <v>11465</v>
      </c>
      <c r="D61" s="10">
        <v>47002</v>
      </c>
      <c r="E61" s="10">
        <v>69961</v>
      </c>
      <c r="F61" s="10">
        <v>64355</v>
      </c>
      <c r="G61" s="10">
        <v>66390</v>
      </c>
      <c r="H61" s="10">
        <v>64062</v>
      </c>
      <c r="I61" s="10">
        <v>35294</v>
      </c>
      <c r="J61" s="10">
        <v>65293</v>
      </c>
      <c r="K61" s="10">
        <v>59209</v>
      </c>
      <c r="L61" s="10">
        <v>61501</v>
      </c>
      <c r="M61" s="10">
        <v>66434</v>
      </c>
    </row>
    <row r="62" spans="1:13">
      <c r="A62" s="10">
        <v>88</v>
      </c>
      <c r="B62" s="10">
        <v>37395</v>
      </c>
      <c r="C62" s="10">
        <v>14263</v>
      </c>
      <c r="D62" s="10">
        <v>57700</v>
      </c>
      <c r="E62" s="10">
        <v>86237</v>
      </c>
      <c r="F62" s="10">
        <v>78056</v>
      </c>
      <c r="G62" s="10">
        <v>80663</v>
      </c>
      <c r="H62" s="10">
        <v>78700</v>
      </c>
      <c r="I62" s="10">
        <v>44078</v>
      </c>
      <c r="J62" s="10">
        <v>81263</v>
      </c>
      <c r="K62" s="10">
        <v>74842</v>
      </c>
      <c r="L62" s="10">
        <v>75303</v>
      </c>
      <c r="M62" s="10">
        <v>82213</v>
      </c>
    </row>
    <row r="63" spans="1:13">
      <c r="A63" s="10">
        <v>89</v>
      </c>
      <c r="B63" s="10">
        <v>48976</v>
      </c>
      <c r="C63" s="10">
        <v>19425</v>
      </c>
      <c r="D63" s="10">
        <v>71121</v>
      </c>
      <c r="E63" s="10">
        <v>106814</v>
      </c>
      <c r="F63" s="10">
        <v>98240</v>
      </c>
      <c r="G63" s="10">
        <v>101572</v>
      </c>
      <c r="H63" s="10">
        <v>98723</v>
      </c>
      <c r="I63" s="10">
        <v>54039</v>
      </c>
      <c r="J63" s="10">
        <v>102793</v>
      </c>
      <c r="K63" s="10">
        <v>94551</v>
      </c>
      <c r="L63" s="10">
        <v>94638</v>
      </c>
      <c r="M63" s="10">
        <v>102232</v>
      </c>
    </row>
    <row r="64" spans="1:13">
      <c r="A64" s="10">
        <v>90</v>
      </c>
      <c r="B64" s="10">
        <v>71702</v>
      </c>
      <c r="C64" s="10">
        <v>28975</v>
      </c>
      <c r="D64" s="10">
        <v>100164</v>
      </c>
      <c r="E64" s="10">
        <v>150374</v>
      </c>
      <c r="F64" s="10">
        <v>138212</v>
      </c>
      <c r="G64" s="10">
        <v>142970</v>
      </c>
      <c r="H64" s="10">
        <v>139214</v>
      </c>
      <c r="I64" s="10">
        <v>75672</v>
      </c>
      <c r="J64" s="10">
        <v>142528</v>
      </c>
      <c r="K64" s="10">
        <v>131687</v>
      </c>
      <c r="L64" s="10">
        <v>135900</v>
      </c>
      <c r="M64" s="10">
        <v>144214</v>
      </c>
    </row>
    <row r="65" spans="1:13">
      <c r="A65" s="10">
        <v>91</v>
      </c>
      <c r="B65" s="10">
        <v>132683</v>
      </c>
      <c r="C65" s="10">
        <v>55827</v>
      </c>
      <c r="D65" s="10">
        <v>167973</v>
      </c>
      <c r="E65" s="10">
        <v>254528</v>
      </c>
      <c r="F65" s="10">
        <v>234220</v>
      </c>
      <c r="G65" s="10">
        <v>242457</v>
      </c>
      <c r="H65" s="10">
        <v>238926</v>
      </c>
      <c r="I65" s="10">
        <v>126634</v>
      </c>
      <c r="J65" s="10">
        <v>244043</v>
      </c>
      <c r="K65" s="10">
        <v>225062</v>
      </c>
      <c r="L65" s="10">
        <v>231684</v>
      </c>
      <c r="M65" s="10">
        <v>246318</v>
      </c>
    </row>
    <row r="66" spans="1:13">
      <c r="A66" s="10">
        <v>92</v>
      </c>
      <c r="B66" s="10">
        <v>1727483</v>
      </c>
      <c r="C66" s="10">
        <v>703776</v>
      </c>
      <c r="D66" s="10">
        <v>1558682</v>
      </c>
      <c r="E66" s="10">
        <v>2339480</v>
      </c>
      <c r="F66" s="10">
        <v>2365468</v>
      </c>
      <c r="G66" s="10">
        <v>2434269</v>
      </c>
      <c r="H66" s="10">
        <v>2576687</v>
      </c>
      <c r="I66" s="10">
        <v>1111375</v>
      </c>
      <c r="J66" s="10">
        <v>1889886</v>
      </c>
      <c r="K66" s="10">
        <v>1888962</v>
      </c>
      <c r="L66" s="10">
        <v>2483704</v>
      </c>
      <c r="M66" s="10">
        <v>2429151</v>
      </c>
    </row>
    <row r="67" spans="1:13">
      <c r="A67" s="10">
        <v>93</v>
      </c>
      <c r="B67" s="10">
        <v>161321</v>
      </c>
      <c r="C67" s="10">
        <v>108854</v>
      </c>
      <c r="D67" s="10">
        <v>21744</v>
      </c>
      <c r="E67" s="10">
        <v>41160</v>
      </c>
      <c r="F67" s="10">
        <v>48492</v>
      </c>
      <c r="G67" s="10">
        <v>31119</v>
      </c>
      <c r="H67" s="10">
        <v>50248</v>
      </c>
      <c r="I67" s="10">
        <v>13537</v>
      </c>
      <c r="J67" s="10">
        <v>19775</v>
      </c>
      <c r="K67" s="10">
        <v>25147</v>
      </c>
      <c r="L67" s="10">
        <v>43361</v>
      </c>
      <c r="M67" s="10">
        <v>30784</v>
      </c>
    </row>
    <row r="68" spans="1:13">
      <c r="A68" s="6" t="s">
        <v>76</v>
      </c>
      <c r="B68" s="3">
        <f>SUM(B24:B67)</f>
        <v>2564670</v>
      </c>
      <c r="C68" s="4">
        <f t="shared" ref="C68:M68" si="0">SUM(C24:C67)</f>
        <v>1071728</v>
      </c>
      <c r="D68" s="4">
        <f t="shared" si="0"/>
        <v>2698542</v>
      </c>
      <c r="E68" s="3">
        <f t="shared" si="0"/>
        <v>3982565</v>
      </c>
      <c r="F68" s="4">
        <f t="shared" si="0"/>
        <v>3904005</v>
      </c>
      <c r="G68" s="3">
        <f t="shared" si="0"/>
        <v>4001174</v>
      </c>
      <c r="H68" s="4">
        <f t="shared" si="0"/>
        <v>4095973</v>
      </c>
      <c r="I68" s="8">
        <f t="shared" si="0"/>
        <v>1992091</v>
      </c>
      <c r="J68" s="4">
        <f t="shared" si="0"/>
        <v>3428548</v>
      </c>
      <c r="K68" s="4">
        <f t="shared" si="0"/>
        <v>3319632</v>
      </c>
      <c r="L68" s="8">
        <f t="shared" si="0"/>
        <v>3950317</v>
      </c>
      <c r="M68" s="4">
        <f t="shared" si="0"/>
        <v>3995574</v>
      </c>
    </row>
    <row r="69" spans="1:13">
      <c r="A69" s="6" t="s">
        <v>75</v>
      </c>
      <c r="B69" s="3">
        <f>SUM(B4:B67)</f>
        <v>2583555</v>
      </c>
      <c r="C69" s="4">
        <f t="shared" ref="C69:M69" si="1">SUM(C4:C67)</f>
        <v>1077754</v>
      </c>
      <c r="D69" s="4">
        <f t="shared" si="1"/>
        <v>2786079</v>
      </c>
      <c r="E69" s="3">
        <f t="shared" si="1"/>
        <v>4077359</v>
      </c>
      <c r="F69" s="4">
        <f t="shared" si="1"/>
        <v>4007048</v>
      </c>
      <c r="G69" s="3">
        <f t="shared" si="1"/>
        <v>4107394</v>
      </c>
      <c r="H69" s="4">
        <f t="shared" si="1"/>
        <v>4190825</v>
      </c>
      <c r="I69" s="8">
        <f t="shared" si="1"/>
        <v>2061322</v>
      </c>
      <c r="J69" s="4">
        <f t="shared" si="1"/>
        <v>3512369</v>
      </c>
      <c r="K69" s="4">
        <f t="shared" si="1"/>
        <v>3408151</v>
      </c>
      <c r="L69" s="8">
        <f t="shared" si="1"/>
        <v>4040917</v>
      </c>
      <c r="M69" s="4">
        <f t="shared" si="1"/>
        <v>4097122</v>
      </c>
    </row>
    <row r="70" spans="1:13">
      <c r="A70" s="6" t="s">
        <v>77</v>
      </c>
      <c r="B70" s="3">
        <f>B68/B69</f>
        <v>0.99269030463837615</v>
      </c>
      <c r="C70" s="4">
        <f t="shared" ref="C70:M70" si="2">C68/C69</f>
        <v>0.9944087426258682</v>
      </c>
      <c r="D70" s="4">
        <f t="shared" si="2"/>
        <v>0.96858057506624906</v>
      </c>
      <c r="E70" s="3">
        <f t="shared" si="2"/>
        <v>0.97675112738417191</v>
      </c>
      <c r="F70" s="4">
        <f t="shared" si="2"/>
        <v>0.97428456060421542</v>
      </c>
      <c r="G70" s="3">
        <f t="shared" si="2"/>
        <v>0.97413932045477014</v>
      </c>
      <c r="H70" s="4">
        <f t="shared" si="2"/>
        <v>0.97736674759743014</v>
      </c>
      <c r="I70" s="8">
        <f t="shared" si="2"/>
        <v>0.96641427200602337</v>
      </c>
      <c r="J70" s="4">
        <f t="shared" si="2"/>
        <v>0.97613548007057349</v>
      </c>
      <c r="K70" s="4">
        <f t="shared" si="2"/>
        <v>0.97402726581069909</v>
      </c>
      <c r="L70" s="8">
        <f t="shared" si="2"/>
        <v>0.97757934647012057</v>
      </c>
      <c r="M70" s="4">
        <f t="shared" si="2"/>
        <v>0.97521479711856274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3CDF-9E9B-C849-A973-2A7CFF142786}">
  <dimension ref="A1:G103"/>
  <sheetViews>
    <sheetView workbookViewId="0">
      <selection activeCell="A2" sqref="A2"/>
    </sheetView>
  </sheetViews>
  <sheetFormatPr baseColWidth="10" defaultRowHeight="16"/>
  <cols>
    <col min="1" max="1" width="13.7109375" customWidth="1"/>
  </cols>
  <sheetData>
    <row r="1" spans="1:7">
      <c r="A1" s="9" t="s">
        <v>122</v>
      </c>
      <c r="B1" s="9"/>
      <c r="C1" s="9"/>
      <c r="D1" s="9"/>
    </row>
    <row r="3" spans="1:7">
      <c r="A3" s="1" t="s">
        <v>111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96</v>
      </c>
    </row>
    <row r="4" spans="1:7">
      <c r="A4" s="2">
        <v>99</v>
      </c>
      <c r="B4" s="2">
        <v>16001</v>
      </c>
      <c r="C4" s="2">
        <v>67679</v>
      </c>
      <c r="D4" s="2">
        <v>20905</v>
      </c>
      <c r="E4" s="2">
        <v>59354</v>
      </c>
      <c r="F4" s="2">
        <v>10377</v>
      </c>
      <c r="G4" s="2">
        <v>7424</v>
      </c>
    </row>
    <row r="5" spans="1:7">
      <c r="A5" s="2">
        <v>98</v>
      </c>
      <c r="B5" s="2">
        <v>16001</v>
      </c>
      <c r="C5" s="2">
        <v>67679</v>
      </c>
      <c r="D5" s="2">
        <v>20842</v>
      </c>
      <c r="E5" s="2">
        <v>59354</v>
      </c>
      <c r="F5" s="2">
        <v>10377</v>
      </c>
      <c r="G5" s="2">
        <v>7424</v>
      </c>
    </row>
    <row r="6" spans="1:7">
      <c r="A6" s="2">
        <v>97</v>
      </c>
      <c r="B6" s="2">
        <v>16001</v>
      </c>
      <c r="C6" s="2">
        <v>67679</v>
      </c>
      <c r="D6" s="2">
        <v>20796</v>
      </c>
      <c r="E6" s="2">
        <v>59354</v>
      </c>
      <c r="F6" s="2">
        <v>10377</v>
      </c>
      <c r="G6" s="2">
        <v>7424</v>
      </c>
    </row>
    <row r="7" spans="1:7">
      <c r="A7" s="2">
        <v>96</v>
      </c>
      <c r="B7" s="2">
        <v>16001</v>
      </c>
      <c r="C7" s="2">
        <v>67679</v>
      </c>
      <c r="D7" s="2">
        <v>20746</v>
      </c>
      <c r="E7" s="2">
        <v>59354</v>
      </c>
      <c r="F7" s="2">
        <v>10377</v>
      </c>
      <c r="G7" s="2">
        <v>7424</v>
      </c>
    </row>
    <row r="8" spans="1:7">
      <c r="A8" s="2">
        <v>95</v>
      </c>
      <c r="B8" s="2">
        <v>16001</v>
      </c>
      <c r="C8" s="2">
        <v>67679</v>
      </c>
      <c r="D8" s="2">
        <v>20701</v>
      </c>
      <c r="E8" s="2">
        <v>59354</v>
      </c>
      <c r="F8" s="2">
        <v>10377</v>
      </c>
      <c r="G8" s="2">
        <v>7424</v>
      </c>
    </row>
    <row r="9" spans="1:7">
      <c r="A9" s="2">
        <v>94</v>
      </c>
      <c r="B9" s="2">
        <v>16001</v>
      </c>
      <c r="C9" s="2">
        <v>67679</v>
      </c>
      <c r="D9" s="2">
        <v>20665</v>
      </c>
      <c r="E9" s="2">
        <v>59354</v>
      </c>
      <c r="F9" s="2">
        <v>10377</v>
      </c>
      <c r="G9" s="2">
        <v>7424</v>
      </c>
    </row>
    <row r="10" spans="1:7">
      <c r="A10" s="2">
        <v>93</v>
      </c>
      <c r="B10" s="2">
        <v>16001</v>
      </c>
      <c r="C10" s="2">
        <v>67679</v>
      </c>
      <c r="D10" s="2">
        <v>20606</v>
      </c>
      <c r="E10" s="2">
        <v>59354</v>
      </c>
      <c r="F10" s="2">
        <v>10377</v>
      </c>
      <c r="G10" s="2">
        <v>7424</v>
      </c>
    </row>
    <row r="11" spans="1:7">
      <c r="A11" s="2">
        <v>92</v>
      </c>
      <c r="B11" s="2">
        <v>16001</v>
      </c>
      <c r="C11" s="2">
        <v>67679</v>
      </c>
      <c r="D11" s="2">
        <v>20552</v>
      </c>
      <c r="E11" s="2">
        <v>59354</v>
      </c>
      <c r="F11" s="2">
        <v>10377</v>
      </c>
      <c r="G11" s="2">
        <v>7424</v>
      </c>
    </row>
    <row r="12" spans="1:7">
      <c r="A12" s="2">
        <v>91</v>
      </c>
      <c r="B12" s="2">
        <v>16001</v>
      </c>
      <c r="C12" s="2">
        <v>67679</v>
      </c>
      <c r="D12" s="2">
        <v>20521</v>
      </c>
      <c r="E12" s="2">
        <v>59354</v>
      </c>
      <c r="F12" s="2">
        <v>10377</v>
      </c>
      <c r="G12" s="2">
        <v>7424</v>
      </c>
    </row>
    <row r="13" spans="1:7">
      <c r="A13" s="2">
        <v>90</v>
      </c>
      <c r="B13" s="2">
        <v>16001</v>
      </c>
      <c r="C13" s="2">
        <v>67679</v>
      </c>
      <c r="D13" s="2">
        <v>20478</v>
      </c>
      <c r="E13" s="2">
        <v>59354</v>
      </c>
      <c r="F13" s="2">
        <v>10377</v>
      </c>
      <c r="G13" s="2">
        <v>7424</v>
      </c>
    </row>
    <row r="14" spans="1:7">
      <c r="A14" s="2">
        <v>89</v>
      </c>
      <c r="B14" s="2">
        <v>16001</v>
      </c>
      <c r="C14" s="2">
        <v>67679</v>
      </c>
      <c r="D14" s="2">
        <v>20432</v>
      </c>
      <c r="E14" s="2">
        <v>59354</v>
      </c>
      <c r="F14" s="2">
        <v>10377</v>
      </c>
      <c r="G14" s="2">
        <v>7424</v>
      </c>
    </row>
    <row r="15" spans="1:7">
      <c r="A15" s="2">
        <v>88</v>
      </c>
      <c r="B15" s="2">
        <v>16001</v>
      </c>
      <c r="C15" s="2">
        <v>67679</v>
      </c>
      <c r="D15" s="2">
        <v>20386</v>
      </c>
      <c r="E15" s="2">
        <v>59354</v>
      </c>
      <c r="F15" s="2">
        <v>10377</v>
      </c>
      <c r="G15" s="2">
        <v>7424</v>
      </c>
    </row>
    <row r="16" spans="1:7">
      <c r="A16" s="2">
        <v>87</v>
      </c>
      <c r="B16" s="2">
        <v>16001</v>
      </c>
      <c r="C16" s="2">
        <v>67679</v>
      </c>
      <c r="D16" s="2">
        <v>20335</v>
      </c>
      <c r="E16" s="2">
        <v>59354</v>
      </c>
      <c r="F16" s="2">
        <v>10377</v>
      </c>
      <c r="G16" s="2">
        <v>7424</v>
      </c>
    </row>
    <row r="17" spans="1:7">
      <c r="A17" s="2">
        <v>86</v>
      </c>
      <c r="B17" s="2">
        <v>16001</v>
      </c>
      <c r="C17" s="2">
        <v>67679</v>
      </c>
      <c r="D17" s="2">
        <v>20280</v>
      </c>
      <c r="E17" s="2">
        <v>59354</v>
      </c>
      <c r="F17" s="2">
        <v>10377</v>
      </c>
      <c r="G17" s="2">
        <v>7424</v>
      </c>
    </row>
    <row r="18" spans="1:7">
      <c r="A18" s="2">
        <v>85</v>
      </c>
      <c r="B18" s="2">
        <v>16001</v>
      </c>
      <c r="C18" s="2">
        <v>67679</v>
      </c>
      <c r="D18" s="2">
        <v>20241</v>
      </c>
      <c r="E18" s="2">
        <v>59354</v>
      </c>
      <c r="F18" s="2">
        <v>10377</v>
      </c>
      <c r="G18" s="2">
        <v>7424</v>
      </c>
    </row>
    <row r="19" spans="1:7">
      <c r="A19" s="2">
        <v>84</v>
      </c>
      <c r="B19" s="2">
        <v>16001</v>
      </c>
      <c r="C19" s="2">
        <v>67679</v>
      </c>
      <c r="D19" s="2">
        <v>20189</v>
      </c>
      <c r="E19" s="2">
        <v>59354</v>
      </c>
      <c r="F19" s="2">
        <v>10377</v>
      </c>
      <c r="G19" s="2">
        <v>7424</v>
      </c>
    </row>
    <row r="20" spans="1:7">
      <c r="A20" s="2">
        <v>83</v>
      </c>
      <c r="B20" s="2">
        <v>16001</v>
      </c>
      <c r="C20" s="2">
        <v>67679</v>
      </c>
      <c r="D20" s="2">
        <v>20147</v>
      </c>
      <c r="E20" s="2">
        <v>59354</v>
      </c>
      <c r="F20" s="2">
        <v>10377</v>
      </c>
      <c r="G20" s="2">
        <v>7424</v>
      </c>
    </row>
    <row r="21" spans="1:7">
      <c r="A21" s="2">
        <v>82</v>
      </c>
      <c r="B21" s="2">
        <v>16001</v>
      </c>
      <c r="C21" s="2">
        <v>67679</v>
      </c>
      <c r="D21" s="2">
        <v>20087</v>
      </c>
      <c r="E21" s="2">
        <v>59354</v>
      </c>
      <c r="F21" s="2">
        <v>10377</v>
      </c>
      <c r="G21" s="2">
        <v>7424</v>
      </c>
    </row>
    <row r="22" spans="1:7">
      <c r="A22" s="2">
        <v>81</v>
      </c>
      <c r="B22" s="2">
        <v>16001</v>
      </c>
      <c r="C22" s="2">
        <v>67679</v>
      </c>
      <c r="D22" s="2">
        <v>20042</v>
      </c>
      <c r="E22" s="2">
        <v>59354</v>
      </c>
      <c r="F22" s="2">
        <v>10377</v>
      </c>
      <c r="G22" s="2">
        <v>7424</v>
      </c>
    </row>
    <row r="23" spans="1:7">
      <c r="A23" s="2">
        <v>80</v>
      </c>
      <c r="B23" s="2">
        <v>16001</v>
      </c>
      <c r="C23" s="2">
        <v>67679</v>
      </c>
      <c r="D23" s="2">
        <v>20003</v>
      </c>
      <c r="E23" s="2">
        <v>59354</v>
      </c>
      <c r="F23" s="2">
        <v>10377</v>
      </c>
      <c r="G23" s="2">
        <v>7424</v>
      </c>
    </row>
    <row r="24" spans="1:7">
      <c r="A24" s="2">
        <v>79</v>
      </c>
      <c r="B24" s="2">
        <v>16001</v>
      </c>
      <c r="C24" s="2">
        <v>67679</v>
      </c>
      <c r="D24" s="2">
        <v>19944</v>
      </c>
      <c r="E24" s="2">
        <v>59354</v>
      </c>
      <c r="F24" s="2">
        <v>10377</v>
      </c>
      <c r="G24" s="2">
        <v>7424</v>
      </c>
    </row>
    <row r="25" spans="1:7">
      <c r="A25" s="2">
        <v>78</v>
      </c>
      <c r="B25" s="2">
        <v>16001</v>
      </c>
      <c r="C25" s="2">
        <v>67679</v>
      </c>
      <c r="D25" s="2">
        <v>19892</v>
      </c>
      <c r="E25" s="2">
        <v>59354</v>
      </c>
      <c r="F25" s="2">
        <v>10377</v>
      </c>
      <c r="G25" s="2">
        <v>7424</v>
      </c>
    </row>
    <row r="26" spans="1:7">
      <c r="A26" s="2">
        <v>77</v>
      </c>
      <c r="B26" s="2">
        <v>16001</v>
      </c>
      <c r="C26" s="2">
        <v>67679</v>
      </c>
      <c r="D26" s="2">
        <v>19828</v>
      </c>
      <c r="E26" s="2">
        <v>59354</v>
      </c>
      <c r="F26" s="2">
        <v>10377</v>
      </c>
      <c r="G26" s="2">
        <v>7424</v>
      </c>
    </row>
    <row r="27" spans="1:7">
      <c r="A27" s="2">
        <v>76</v>
      </c>
      <c r="B27" s="2">
        <v>16001</v>
      </c>
      <c r="C27" s="2">
        <v>67679</v>
      </c>
      <c r="D27" s="2">
        <v>19779</v>
      </c>
      <c r="E27" s="2">
        <v>59354</v>
      </c>
      <c r="F27" s="2">
        <v>10377</v>
      </c>
      <c r="G27" s="2">
        <v>7424</v>
      </c>
    </row>
    <row r="28" spans="1:7">
      <c r="A28" s="2">
        <v>75</v>
      </c>
      <c r="B28" s="2">
        <v>16001</v>
      </c>
      <c r="C28" s="2">
        <v>67679</v>
      </c>
      <c r="D28" s="2">
        <v>19729</v>
      </c>
      <c r="E28" s="2">
        <v>59354</v>
      </c>
      <c r="F28" s="2">
        <v>10377</v>
      </c>
      <c r="G28" s="2">
        <v>7424</v>
      </c>
    </row>
    <row r="29" spans="1:7">
      <c r="A29" s="2">
        <v>74</v>
      </c>
      <c r="B29" s="2">
        <v>16001</v>
      </c>
      <c r="C29" s="2">
        <v>67679</v>
      </c>
      <c r="D29" s="2">
        <v>19673</v>
      </c>
      <c r="E29" s="2">
        <v>59354</v>
      </c>
      <c r="F29" s="2">
        <v>10377</v>
      </c>
      <c r="G29" s="2">
        <v>7424</v>
      </c>
    </row>
    <row r="30" spans="1:7">
      <c r="A30" s="2">
        <v>73</v>
      </c>
      <c r="B30" s="2">
        <v>16001</v>
      </c>
      <c r="C30" s="2">
        <v>67679</v>
      </c>
      <c r="D30" s="2">
        <v>19617</v>
      </c>
      <c r="E30" s="2">
        <v>59354</v>
      </c>
      <c r="F30" s="2">
        <v>10377</v>
      </c>
      <c r="G30" s="2">
        <v>7424</v>
      </c>
    </row>
    <row r="31" spans="1:7">
      <c r="A31" s="2">
        <v>72</v>
      </c>
      <c r="B31" s="2">
        <v>16001</v>
      </c>
      <c r="C31" s="2">
        <v>67679</v>
      </c>
      <c r="D31" s="2">
        <v>19574</v>
      </c>
      <c r="E31" s="2">
        <v>59354</v>
      </c>
      <c r="F31" s="2">
        <v>10377</v>
      </c>
      <c r="G31" s="2">
        <v>7424</v>
      </c>
    </row>
    <row r="32" spans="1:7">
      <c r="A32" s="2">
        <v>71</v>
      </c>
      <c r="B32" s="2">
        <v>16001</v>
      </c>
      <c r="C32" s="2">
        <v>67679</v>
      </c>
      <c r="D32" s="2">
        <v>19509</v>
      </c>
      <c r="E32" s="2">
        <v>59354</v>
      </c>
      <c r="F32" s="2">
        <v>10377</v>
      </c>
      <c r="G32" s="2">
        <v>7424</v>
      </c>
    </row>
    <row r="33" spans="1:7">
      <c r="A33" s="2">
        <v>70</v>
      </c>
      <c r="B33" s="2">
        <v>16001</v>
      </c>
      <c r="C33" s="2">
        <v>67679</v>
      </c>
      <c r="D33" s="2">
        <v>19449</v>
      </c>
      <c r="E33" s="2">
        <v>59354</v>
      </c>
      <c r="F33" s="2">
        <v>10377</v>
      </c>
      <c r="G33" s="2">
        <v>7424</v>
      </c>
    </row>
    <row r="34" spans="1:7">
      <c r="A34" s="2">
        <v>69</v>
      </c>
      <c r="B34" s="2">
        <v>16001</v>
      </c>
      <c r="C34" s="2">
        <v>67679</v>
      </c>
      <c r="D34" s="2">
        <v>19401</v>
      </c>
      <c r="E34" s="2">
        <v>59354</v>
      </c>
      <c r="F34" s="2">
        <v>10377</v>
      </c>
      <c r="G34" s="2">
        <v>7424</v>
      </c>
    </row>
    <row r="35" spans="1:7">
      <c r="A35" s="2">
        <v>68</v>
      </c>
      <c r="B35" s="2">
        <v>16001</v>
      </c>
      <c r="C35" s="2">
        <v>67679</v>
      </c>
      <c r="D35" s="2">
        <v>19343</v>
      </c>
      <c r="E35" s="2">
        <v>59354</v>
      </c>
      <c r="F35" s="2">
        <v>10377</v>
      </c>
      <c r="G35" s="2">
        <v>7424</v>
      </c>
    </row>
    <row r="36" spans="1:7">
      <c r="A36" s="2">
        <v>67</v>
      </c>
      <c r="B36" s="2">
        <v>16001</v>
      </c>
      <c r="C36" s="2">
        <v>67679</v>
      </c>
      <c r="D36" s="2">
        <v>19281</v>
      </c>
      <c r="E36" s="2">
        <v>59354</v>
      </c>
      <c r="F36" s="2">
        <v>10377</v>
      </c>
      <c r="G36" s="2">
        <v>7424</v>
      </c>
    </row>
    <row r="37" spans="1:7">
      <c r="A37" s="2">
        <v>66</v>
      </c>
      <c r="B37" s="2">
        <v>16001</v>
      </c>
      <c r="C37" s="2">
        <v>67679</v>
      </c>
      <c r="D37" s="2">
        <v>19216</v>
      </c>
      <c r="E37" s="2">
        <v>59354</v>
      </c>
      <c r="F37" s="2">
        <v>10377</v>
      </c>
      <c r="G37" s="2">
        <v>7424</v>
      </c>
    </row>
    <row r="38" spans="1:7">
      <c r="A38" s="2">
        <v>65</v>
      </c>
      <c r="B38" s="2">
        <v>16001</v>
      </c>
      <c r="C38" s="2">
        <v>67679</v>
      </c>
      <c r="D38" s="2">
        <v>19160</v>
      </c>
      <c r="E38" s="2">
        <v>59354</v>
      </c>
      <c r="F38" s="2">
        <v>10377</v>
      </c>
      <c r="G38" s="2">
        <v>7424</v>
      </c>
    </row>
    <row r="39" spans="1:7">
      <c r="A39" s="2">
        <v>64</v>
      </c>
      <c r="B39" s="2">
        <v>16001</v>
      </c>
      <c r="C39" s="2">
        <v>67679</v>
      </c>
      <c r="D39" s="2">
        <v>19104</v>
      </c>
      <c r="E39" s="2">
        <v>59354</v>
      </c>
      <c r="F39" s="2">
        <v>10377</v>
      </c>
      <c r="G39" s="2">
        <v>7424</v>
      </c>
    </row>
    <row r="40" spans="1:7">
      <c r="A40" s="2">
        <v>63</v>
      </c>
      <c r="B40" s="2">
        <v>16001</v>
      </c>
      <c r="C40" s="2">
        <v>67679</v>
      </c>
      <c r="D40" s="2">
        <v>19044</v>
      </c>
      <c r="E40" s="2">
        <v>59354</v>
      </c>
      <c r="F40" s="2">
        <v>10377</v>
      </c>
      <c r="G40" s="2">
        <v>7424</v>
      </c>
    </row>
    <row r="41" spans="1:7">
      <c r="A41" s="2">
        <v>62</v>
      </c>
      <c r="B41" s="2">
        <v>16001</v>
      </c>
      <c r="C41" s="2">
        <v>67679</v>
      </c>
      <c r="D41" s="2">
        <v>18986</v>
      </c>
      <c r="E41" s="2">
        <v>59354</v>
      </c>
      <c r="F41" s="2">
        <v>10377</v>
      </c>
      <c r="G41" s="2">
        <v>7424</v>
      </c>
    </row>
    <row r="42" spans="1:7">
      <c r="A42" s="2">
        <v>61</v>
      </c>
      <c r="B42" s="2">
        <v>16001</v>
      </c>
      <c r="C42" s="2">
        <v>67679</v>
      </c>
      <c r="D42" s="2">
        <v>18923</v>
      </c>
      <c r="E42" s="2">
        <v>59354</v>
      </c>
      <c r="F42" s="2">
        <v>10377</v>
      </c>
      <c r="G42" s="2">
        <v>7424</v>
      </c>
    </row>
    <row r="43" spans="1:7">
      <c r="A43" s="2">
        <v>60</v>
      </c>
      <c r="B43" s="2">
        <v>16001</v>
      </c>
      <c r="C43" s="2">
        <v>67679</v>
      </c>
      <c r="D43" s="2">
        <v>18864</v>
      </c>
      <c r="E43" s="2">
        <v>59354</v>
      </c>
      <c r="F43" s="2">
        <v>10377</v>
      </c>
      <c r="G43" s="2">
        <v>7424</v>
      </c>
    </row>
    <row r="44" spans="1:7">
      <c r="A44" s="2">
        <v>59</v>
      </c>
      <c r="B44" s="2">
        <v>16001</v>
      </c>
      <c r="C44" s="2">
        <v>67679</v>
      </c>
      <c r="D44" s="2">
        <v>18801</v>
      </c>
      <c r="E44" s="2">
        <v>59354</v>
      </c>
      <c r="F44" s="2">
        <v>10377</v>
      </c>
      <c r="G44" s="2">
        <v>7424</v>
      </c>
    </row>
    <row r="45" spans="1:7">
      <c r="A45" s="2">
        <v>58</v>
      </c>
      <c r="B45" s="2">
        <v>16001</v>
      </c>
      <c r="C45" s="2">
        <v>67679</v>
      </c>
      <c r="D45" s="2">
        <v>18757</v>
      </c>
      <c r="E45" s="2">
        <v>59354</v>
      </c>
      <c r="F45" s="2">
        <v>10377</v>
      </c>
      <c r="G45" s="2">
        <v>7424</v>
      </c>
    </row>
    <row r="46" spans="1:7">
      <c r="A46" s="2">
        <v>57</v>
      </c>
      <c r="B46" s="2">
        <v>16001</v>
      </c>
      <c r="C46" s="2">
        <v>67679</v>
      </c>
      <c r="D46" s="2">
        <v>18686</v>
      </c>
      <c r="E46" s="2">
        <v>59354</v>
      </c>
      <c r="F46" s="2">
        <v>10377</v>
      </c>
      <c r="G46" s="2">
        <v>7424</v>
      </c>
    </row>
    <row r="47" spans="1:7">
      <c r="A47" s="2">
        <v>56</v>
      </c>
      <c r="B47" s="2">
        <v>16001</v>
      </c>
      <c r="C47" s="2">
        <v>67679</v>
      </c>
      <c r="D47" s="2">
        <v>18615</v>
      </c>
      <c r="E47" s="2">
        <v>59354</v>
      </c>
      <c r="F47" s="2">
        <v>10377</v>
      </c>
      <c r="G47" s="2">
        <v>7424</v>
      </c>
    </row>
    <row r="48" spans="1:7">
      <c r="A48" s="2">
        <v>55</v>
      </c>
      <c r="B48" s="2">
        <v>16001</v>
      </c>
      <c r="C48" s="2">
        <v>67679</v>
      </c>
      <c r="D48" s="2">
        <v>18552</v>
      </c>
      <c r="E48" s="2">
        <v>59354</v>
      </c>
      <c r="F48" s="2">
        <v>10377</v>
      </c>
      <c r="G48" s="2">
        <v>7424</v>
      </c>
    </row>
    <row r="49" spans="1:7">
      <c r="A49" s="2">
        <v>54</v>
      </c>
      <c r="B49" s="2">
        <v>16001</v>
      </c>
      <c r="C49" s="2">
        <v>67679</v>
      </c>
      <c r="D49" s="2">
        <v>18484</v>
      </c>
      <c r="E49" s="2">
        <v>59354</v>
      </c>
      <c r="F49" s="2">
        <v>10377</v>
      </c>
      <c r="G49" s="2">
        <v>7424</v>
      </c>
    </row>
    <row r="50" spans="1:7">
      <c r="A50" s="2">
        <v>53</v>
      </c>
      <c r="B50" s="2">
        <v>16001</v>
      </c>
      <c r="C50" s="2">
        <v>67679</v>
      </c>
      <c r="D50" s="2">
        <v>18423</v>
      </c>
      <c r="E50" s="2">
        <v>59354</v>
      </c>
      <c r="F50" s="2">
        <v>10377</v>
      </c>
      <c r="G50" s="2">
        <v>7424</v>
      </c>
    </row>
    <row r="51" spans="1:7">
      <c r="A51" s="2">
        <v>52</v>
      </c>
      <c r="B51" s="2">
        <v>16001</v>
      </c>
      <c r="C51" s="2">
        <v>67679</v>
      </c>
      <c r="D51" s="2">
        <v>18341</v>
      </c>
      <c r="E51" s="2">
        <v>59354</v>
      </c>
      <c r="F51" s="2">
        <v>10377</v>
      </c>
      <c r="G51" s="2">
        <v>7424</v>
      </c>
    </row>
    <row r="52" spans="1:7">
      <c r="A52" s="2">
        <v>51</v>
      </c>
      <c r="B52" s="2">
        <v>16001</v>
      </c>
      <c r="C52" s="2">
        <v>67679</v>
      </c>
      <c r="D52" s="2">
        <v>18271</v>
      </c>
      <c r="E52" s="2">
        <v>59354</v>
      </c>
      <c r="F52" s="2">
        <v>10377</v>
      </c>
      <c r="G52" s="2">
        <v>7424</v>
      </c>
    </row>
    <row r="53" spans="1:7">
      <c r="A53" s="2">
        <v>50</v>
      </c>
      <c r="B53" s="2">
        <v>16001</v>
      </c>
      <c r="C53" s="2">
        <v>67679</v>
      </c>
      <c r="D53" s="2">
        <v>18194</v>
      </c>
      <c r="E53" s="2">
        <v>59354</v>
      </c>
      <c r="F53" s="2">
        <v>10377</v>
      </c>
      <c r="G53" s="2">
        <v>7424</v>
      </c>
    </row>
    <row r="54" spans="1:7">
      <c r="A54" s="2">
        <v>49</v>
      </c>
      <c r="B54" s="2">
        <v>16001</v>
      </c>
      <c r="C54" s="2">
        <v>67679</v>
      </c>
      <c r="D54" s="2">
        <v>18125</v>
      </c>
      <c r="E54" s="2">
        <v>59354</v>
      </c>
      <c r="F54" s="2">
        <v>10377</v>
      </c>
      <c r="G54" s="2">
        <v>7424</v>
      </c>
    </row>
    <row r="55" spans="1:7">
      <c r="A55" s="2">
        <v>48</v>
      </c>
      <c r="B55" s="2">
        <v>16001</v>
      </c>
      <c r="C55" s="2">
        <v>67679</v>
      </c>
      <c r="D55" s="2">
        <v>18066</v>
      </c>
      <c r="E55" s="2">
        <v>59354</v>
      </c>
      <c r="F55" s="2">
        <v>10377</v>
      </c>
      <c r="G55" s="2">
        <v>7424</v>
      </c>
    </row>
    <row r="56" spans="1:7">
      <c r="A56" s="2">
        <v>47</v>
      </c>
      <c r="B56" s="2">
        <v>16001</v>
      </c>
      <c r="C56" s="2">
        <v>67679</v>
      </c>
      <c r="D56" s="2">
        <v>17990</v>
      </c>
      <c r="E56" s="2">
        <v>59354</v>
      </c>
      <c r="F56" s="2">
        <v>10377</v>
      </c>
      <c r="G56" s="2">
        <v>7424</v>
      </c>
    </row>
    <row r="57" spans="1:7">
      <c r="A57" s="2">
        <v>46</v>
      </c>
      <c r="B57" s="2">
        <v>16001</v>
      </c>
      <c r="C57" s="2">
        <v>67679</v>
      </c>
      <c r="D57" s="2">
        <v>17922</v>
      </c>
      <c r="E57" s="2">
        <v>59354</v>
      </c>
      <c r="F57" s="2">
        <v>10377</v>
      </c>
      <c r="G57" s="2">
        <v>7424</v>
      </c>
    </row>
    <row r="58" spans="1:7">
      <c r="A58" s="2">
        <v>45</v>
      </c>
      <c r="B58" s="2">
        <v>16001</v>
      </c>
      <c r="C58" s="2">
        <v>67679</v>
      </c>
      <c r="D58" s="2">
        <v>17831</v>
      </c>
      <c r="E58" s="2">
        <v>59354</v>
      </c>
      <c r="F58" s="2">
        <v>10377</v>
      </c>
      <c r="G58" s="2">
        <v>7424</v>
      </c>
    </row>
    <row r="59" spans="1:7">
      <c r="A59" s="2">
        <v>44</v>
      </c>
      <c r="B59" s="2">
        <v>16001</v>
      </c>
      <c r="C59" s="2">
        <v>67679</v>
      </c>
      <c r="D59" s="2">
        <v>17751</v>
      </c>
      <c r="E59" s="2">
        <v>59354</v>
      </c>
      <c r="F59" s="2">
        <v>10377</v>
      </c>
      <c r="G59" s="2">
        <v>7424</v>
      </c>
    </row>
    <row r="60" spans="1:7">
      <c r="A60" s="2">
        <v>43</v>
      </c>
      <c r="B60" s="2">
        <v>16001</v>
      </c>
      <c r="C60" s="2">
        <v>67679</v>
      </c>
      <c r="D60" s="2">
        <v>17690</v>
      </c>
      <c r="E60" s="2">
        <v>59354</v>
      </c>
      <c r="F60" s="2">
        <v>10377</v>
      </c>
      <c r="G60" s="2">
        <v>7424</v>
      </c>
    </row>
    <row r="61" spans="1:7">
      <c r="A61" s="2">
        <v>42</v>
      </c>
      <c r="B61" s="2">
        <v>16001</v>
      </c>
      <c r="C61" s="2">
        <v>67679</v>
      </c>
      <c r="D61" s="2">
        <v>17629</v>
      </c>
      <c r="E61" s="2">
        <v>59354</v>
      </c>
      <c r="F61" s="2">
        <v>10377</v>
      </c>
      <c r="G61" s="2">
        <v>7424</v>
      </c>
    </row>
    <row r="62" spans="1:7">
      <c r="A62" s="2">
        <v>41</v>
      </c>
      <c r="B62" s="2">
        <v>16001</v>
      </c>
      <c r="C62" s="2">
        <v>67679</v>
      </c>
      <c r="D62" s="2">
        <v>17556</v>
      </c>
      <c r="E62" s="2">
        <v>59354</v>
      </c>
      <c r="F62" s="2">
        <v>10377</v>
      </c>
      <c r="G62" s="2">
        <v>7424</v>
      </c>
    </row>
    <row r="63" spans="1:7">
      <c r="A63" s="2">
        <v>40</v>
      </c>
      <c r="B63" s="2">
        <v>16001</v>
      </c>
      <c r="C63" s="2">
        <v>67679</v>
      </c>
      <c r="D63" s="2">
        <v>17470</v>
      </c>
      <c r="E63" s="2">
        <v>59354</v>
      </c>
      <c r="F63" s="2">
        <v>10377</v>
      </c>
      <c r="G63" s="2">
        <v>7424</v>
      </c>
    </row>
    <row r="64" spans="1:7">
      <c r="A64" s="2">
        <v>39</v>
      </c>
      <c r="B64" s="2">
        <v>16001</v>
      </c>
      <c r="C64" s="2">
        <v>67679</v>
      </c>
      <c r="D64" s="2">
        <v>17405</v>
      </c>
      <c r="E64" s="2">
        <v>59354</v>
      </c>
      <c r="F64" s="2">
        <v>10377</v>
      </c>
      <c r="G64" s="2">
        <v>7424</v>
      </c>
    </row>
    <row r="65" spans="1:7">
      <c r="A65" s="2">
        <v>38</v>
      </c>
      <c r="B65" s="2">
        <v>16001</v>
      </c>
      <c r="C65" s="2">
        <v>67679</v>
      </c>
      <c r="D65" s="2">
        <v>17336</v>
      </c>
      <c r="E65" s="2">
        <v>59354</v>
      </c>
      <c r="F65" s="2">
        <v>10377</v>
      </c>
      <c r="G65" s="2">
        <v>7424</v>
      </c>
    </row>
    <row r="66" spans="1:7">
      <c r="A66" s="2">
        <v>37</v>
      </c>
      <c r="B66" s="2">
        <v>16001</v>
      </c>
      <c r="C66" s="2">
        <v>67679</v>
      </c>
      <c r="D66" s="2">
        <v>17259</v>
      </c>
      <c r="E66" s="2">
        <v>59354</v>
      </c>
      <c r="F66" s="2">
        <v>10377</v>
      </c>
      <c r="G66" s="2">
        <v>7424</v>
      </c>
    </row>
    <row r="67" spans="1:7">
      <c r="A67" s="2">
        <v>36</v>
      </c>
      <c r="B67" s="2">
        <v>16001</v>
      </c>
      <c r="C67" s="2">
        <v>67679</v>
      </c>
      <c r="D67" s="2">
        <v>17183</v>
      </c>
      <c r="E67" s="2">
        <v>59354</v>
      </c>
      <c r="F67" s="2">
        <v>10377</v>
      </c>
      <c r="G67" s="2">
        <v>7424</v>
      </c>
    </row>
    <row r="68" spans="1:7">
      <c r="A68" s="2">
        <v>35</v>
      </c>
      <c r="B68" s="2">
        <v>16001</v>
      </c>
      <c r="C68" s="2">
        <v>67679</v>
      </c>
      <c r="D68" s="2">
        <v>17104</v>
      </c>
      <c r="E68" s="2">
        <v>59354</v>
      </c>
      <c r="F68" s="2">
        <v>10377</v>
      </c>
      <c r="G68" s="2">
        <v>7424</v>
      </c>
    </row>
    <row r="69" spans="1:7">
      <c r="A69" s="2">
        <v>34</v>
      </c>
      <c r="B69" s="2">
        <v>16001</v>
      </c>
      <c r="C69" s="2">
        <v>67679</v>
      </c>
      <c r="D69" s="2">
        <v>17029</v>
      </c>
      <c r="E69" s="2">
        <v>59354</v>
      </c>
      <c r="F69" s="2">
        <v>10377</v>
      </c>
      <c r="G69" s="2">
        <v>7424</v>
      </c>
    </row>
    <row r="70" spans="1:7">
      <c r="A70" s="2">
        <v>33</v>
      </c>
      <c r="B70" s="2">
        <v>16001</v>
      </c>
      <c r="C70" s="2">
        <v>67679</v>
      </c>
      <c r="D70" s="2">
        <v>16939</v>
      </c>
      <c r="E70" s="2">
        <v>59354</v>
      </c>
      <c r="F70" s="2">
        <v>10377</v>
      </c>
      <c r="G70" s="2">
        <v>7424</v>
      </c>
    </row>
    <row r="71" spans="1:7">
      <c r="A71" s="2">
        <v>32</v>
      </c>
      <c r="B71" s="2">
        <v>16001</v>
      </c>
      <c r="C71" s="2">
        <v>67679</v>
      </c>
      <c r="D71" s="2">
        <v>16864</v>
      </c>
      <c r="E71" s="2">
        <v>59354</v>
      </c>
      <c r="F71" s="2">
        <v>10377</v>
      </c>
      <c r="G71" s="2">
        <v>7424</v>
      </c>
    </row>
    <row r="72" spans="1:7">
      <c r="A72" s="2">
        <v>31</v>
      </c>
      <c r="B72" s="2">
        <v>16001</v>
      </c>
      <c r="C72" s="2">
        <v>67679</v>
      </c>
      <c r="D72" s="2">
        <v>16761</v>
      </c>
      <c r="E72" s="2">
        <v>59354</v>
      </c>
      <c r="F72" s="2">
        <v>10377</v>
      </c>
      <c r="G72" s="2">
        <v>7424</v>
      </c>
    </row>
    <row r="73" spans="1:7">
      <c r="A73" s="2">
        <v>30</v>
      </c>
      <c r="B73" s="2">
        <v>16001</v>
      </c>
      <c r="C73" s="2">
        <v>67679</v>
      </c>
      <c r="D73" s="2">
        <v>16668</v>
      </c>
      <c r="E73" s="2">
        <v>59354</v>
      </c>
      <c r="F73" s="2">
        <v>10377</v>
      </c>
      <c r="G73" s="2">
        <v>7424</v>
      </c>
    </row>
    <row r="74" spans="1:7">
      <c r="A74" s="2">
        <v>29</v>
      </c>
      <c r="B74" s="2">
        <v>16001</v>
      </c>
      <c r="C74" s="2">
        <v>67679</v>
      </c>
      <c r="D74" s="2">
        <v>16599</v>
      </c>
      <c r="E74" s="2">
        <v>59354</v>
      </c>
      <c r="F74" s="2">
        <v>10377</v>
      </c>
      <c r="G74" s="2">
        <v>7424</v>
      </c>
    </row>
    <row r="75" spans="1:7">
      <c r="A75" s="2">
        <v>28</v>
      </c>
      <c r="B75" s="2">
        <v>16001</v>
      </c>
      <c r="C75" s="2">
        <v>67679</v>
      </c>
      <c r="D75" s="2">
        <v>16505</v>
      </c>
      <c r="E75" s="2">
        <v>59354</v>
      </c>
      <c r="F75" s="2">
        <v>10377</v>
      </c>
      <c r="G75" s="2">
        <v>7424</v>
      </c>
    </row>
    <row r="76" spans="1:7">
      <c r="A76" s="2">
        <v>27</v>
      </c>
      <c r="B76" s="2">
        <v>16001</v>
      </c>
      <c r="C76" s="2">
        <v>67679</v>
      </c>
      <c r="D76" s="2">
        <v>16411</v>
      </c>
      <c r="E76" s="2">
        <v>59354</v>
      </c>
      <c r="F76" s="2">
        <v>10377</v>
      </c>
      <c r="G76" s="2">
        <v>7424</v>
      </c>
    </row>
    <row r="77" spans="1:7">
      <c r="A77" s="2">
        <v>26</v>
      </c>
      <c r="B77" s="2">
        <v>16001</v>
      </c>
      <c r="C77" s="2">
        <v>67679</v>
      </c>
      <c r="D77" s="2">
        <v>16319</v>
      </c>
      <c r="E77" s="2">
        <v>59354</v>
      </c>
      <c r="F77" s="2">
        <v>10377</v>
      </c>
      <c r="G77" s="2">
        <v>7424</v>
      </c>
    </row>
    <row r="78" spans="1:7">
      <c r="A78" s="2">
        <v>25</v>
      </c>
      <c r="B78" s="2">
        <v>16001</v>
      </c>
      <c r="C78" s="2">
        <v>67679</v>
      </c>
      <c r="D78" s="2">
        <v>16204</v>
      </c>
      <c r="E78" s="2">
        <v>59354</v>
      </c>
      <c r="F78" s="2">
        <v>10377</v>
      </c>
      <c r="G78" s="2">
        <v>7424</v>
      </c>
    </row>
    <row r="79" spans="1:7">
      <c r="A79" s="2">
        <v>24</v>
      </c>
      <c r="B79" s="2">
        <v>16001</v>
      </c>
      <c r="C79" s="2">
        <v>67679</v>
      </c>
      <c r="D79" s="2">
        <v>16106</v>
      </c>
      <c r="E79" s="2">
        <v>59354</v>
      </c>
      <c r="F79" s="2">
        <v>10377</v>
      </c>
      <c r="G79" s="2">
        <v>7424</v>
      </c>
    </row>
    <row r="80" spans="1:7">
      <c r="A80" s="2">
        <v>23</v>
      </c>
      <c r="B80" s="2">
        <v>16001</v>
      </c>
      <c r="C80" s="2">
        <v>67679</v>
      </c>
      <c r="D80" s="2">
        <v>16005</v>
      </c>
      <c r="E80" s="2">
        <v>59354</v>
      </c>
      <c r="F80" s="2">
        <v>10377</v>
      </c>
      <c r="G80" s="2">
        <v>7424</v>
      </c>
    </row>
    <row r="81" spans="1:7">
      <c r="A81" s="2">
        <v>22</v>
      </c>
      <c r="B81" s="2">
        <v>16001</v>
      </c>
      <c r="C81" s="2">
        <v>67679</v>
      </c>
      <c r="D81" s="2">
        <v>15897</v>
      </c>
      <c r="E81" s="2">
        <v>59354</v>
      </c>
      <c r="F81" s="2">
        <v>10377</v>
      </c>
      <c r="G81" s="2">
        <v>7424</v>
      </c>
    </row>
    <row r="82" spans="1:7">
      <c r="A82" s="2">
        <v>21</v>
      </c>
      <c r="B82" s="2">
        <v>16001</v>
      </c>
      <c r="C82" s="2">
        <v>67679</v>
      </c>
      <c r="D82" s="2">
        <v>15816</v>
      </c>
      <c r="E82" s="2">
        <v>59354</v>
      </c>
      <c r="F82" s="2">
        <v>10377</v>
      </c>
      <c r="G82" s="2">
        <v>7424</v>
      </c>
    </row>
    <row r="83" spans="1:7">
      <c r="A83" s="2">
        <v>20</v>
      </c>
      <c r="B83" s="2">
        <v>16001</v>
      </c>
      <c r="C83" s="2">
        <v>67679</v>
      </c>
      <c r="D83" s="2">
        <v>15711</v>
      </c>
      <c r="E83" s="2">
        <v>59354</v>
      </c>
      <c r="F83" s="2">
        <v>10377</v>
      </c>
      <c r="G83" s="2">
        <v>7424</v>
      </c>
    </row>
    <row r="84" spans="1:7">
      <c r="A84" s="2">
        <v>19</v>
      </c>
      <c r="B84" s="2">
        <v>16001</v>
      </c>
      <c r="C84" s="2">
        <v>67679</v>
      </c>
      <c r="D84" s="2">
        <v>15612</v>
      </c>
      <c r="E84" s="2">
        <v>59354</v>
      </c>
      <c r="F84" s="2">
        <v>10377</v>
      </c>
      <c r="G84" s="2">
        <v>7424</v>
      </c>
    </row>
    <row r="85" spans="1:7">
      <c r="A85" s="2">
        <v>18</v>
      </c>
      <c r="B85" s="2">
        <v>16001</v>
      </c>
      <c r="C85" s="2">
        <v>67679</v>
      </c>
      <c r="D85" s="2">
        <v>15508</v>
      </c>
      <c r="E85" s="2">
        <v>59354</v>
      </c>
      <c r="F85" s="2">
        <v>10377</v>
      </c>
      <c r="G85" s="2">
        <v>7424</v>
      </c>
    </row>
    <row r="86" spans="1:7">
      <c r="A86" s="2">
        <v>17</v>
      </c>
      <c r="B86" s="2">
        <v>16001</v>
      </c>
      <c r="C86" s="2">
        <v>67679</v>
      </c>
      <c r="D86" s="2">
        <v>15405</v>
      </c>
      <c r="E86" s="2">
        <v>59354</v>
      </c>
      <c r="F86" s="2">
        <v>10377</v>
      </c>
      <c r="G86" s="2">
        <v>7424</v>
      </c>
    </row>
    <row r="87" spans="1:7">
      <c r="A87" s="2">
        <v>16</v>
      </c>
      <c r="B87" s="2">
        <v>16001</v>
      </c>
      <c r="C87" s="2">
        <v>67679</v>
      </c>
      <c r="D87" s="2">
        <v>15309</v>
      </c>
      <c r="E87" s="2">
        <v>59354</v>
      </c>
      <c r="F87" s="2">
        <v>10377</v>
      </c>
      <c r="G87" s="2">
        <v>7424</v>
      </c>
    </row>
    <row r="88" spans="1:7">
      <c r="A88" s="2">
        <v>15</v>
      </c>
      <c r="B88" s="2">
        <v>16001</v>
      </c>
      <c r="C88" s="2">
        <v>67679</v>
      </c>
      <c r="D88" s="2">
        <v>15191</v>
      </c>
      <c r="E88" s="2">
        <v>59354</v>
      </c>
      <c r="F88" s="2">
        <v>10377</v>
      </c>
      <c r="G88" s="2">
        <v>7424</v>
      </c>
    </row>
    <row r="89" spans="1:7">
      <c r="A89" s="2">
        <v>14</v>
      </c>
      <c r="B89" s="2">
        <v>16001</v>
      </c>
      <c r="C89" s="2">
        <v>67679</v>
      </c>
      <c r="D89" s="2">
        <v>15076</v>
      </c>
      <c r="E89" s="2">
        <v>59354</v>
      </c>
      <c r="F89" s="2">
        <v>10377</v>
      </c>
      <c r="G89" s="2">
        <v>7424</v>
      </c>
    </row>
    <row r="90" spans="1:7">
      <c r="A90" s="2">
        <v>13</v>
      </c>
      <c r="B90" s="2">
        <v>16001</v>
      </c>
      <c r="C90" s="2">
        <v>67679</v>
      </c>
      <c r="D90" s="2">
        <v>14948</v>
      </c>
      <c r="E90" s="2">
        <v>59354</v>
      </c>
      <c r="F90" s="2">
        <v>10377</v>
      </c>
      <c r="G90" s="2">
        <v>7424</v>
      </c>
    </row>
    <row r="91" spans="1:7">
      <c r="A91" s="2">
        <v>12</v>
      </c>
      <c r="B91" s="2">
        <v>16001</v>
      </c>
      <c r="C91" s="2">
        <v>67679</v>
      </c>
      <c r="D91" s="2">
        <v>14837</v>
      </c>
      <c r="E91" s="2">
        <v>59354</v>
      </c>
      <c r="F91" s="2">
        <v>10377</v>
      </c>
      <c r="G91" s="2">
        <v>7424</v>
      </c>
    </row>
    <row r="92" spans="1:7">
      <c r="A92" s="2">
        <v>11</v>
      </c>
      <c r="B92" s="2">
        <v>16001</v>
      </c>
      <c r="C92" s="2">
        <v>67679</v>
      </c>
      <c r="D92" s="2">
        <v>14713</v>
      </c>
      <c r="E92" s="2">
        <v>59354</v>
      </c>
      <c r="F92" s="2">
        <v>10377</v>
      </c>
      <c r="G92" s="2">
        <v>7424</v>
      </c>
    </row>
    <row r="93" spans="1:7">
      <c r="A93" s="2">
        <v>10</v>
      </c>
      <c r="B93" s="2">
        <v>16001</v>
      </c>
      <c r="C93" s="2">
        <v>67679</v>
      </c>
      <c r="D93" s="2">
        <v>14585</v>
      </c>
      <c r="E93" s="2">
        <v>59354</v>
      </c>
      <c r="F93" s="2">
        <v>10377</v>
      </c>
      <c r="G93" s="2">
        <v>7424</v>
      </c>
    </row>
    <row r="94" spans="1:7">
      <c r="A94" s="2">
        <v>9</v>
      </c>
      <c r="B94" s="2">
        <v>16001</v>
      </c>
      <c r="C94" s="2">
        <v>67679</v>
      </c>
      <c r="D94" s="2">
        <v>14460</v>
      </c>
      <c r="E94" s="2">
        <v>59354</v>
      </c>
      <c r="F94" s="2">
        <v>10377</v>
      </c>
      <c r="G94" s="2">
        <v>7424</v>
      </c>
    </row>
    <row r="95" spans="1:7">
      <c r="A95" s="2">
        <v>8</v>
      </c>
      <c r="B95" s="2">
        <v>16001</v>
      </c>
      <c r="C95" s="2">
        <v>67679</v>
      </c>
      <c r="D95" s="2">
        <v>14328</v>
      </c>
      <c r="E95" s="2">
        <v>59354</v>
      </c>
      <c r="F95" s="2">
        <v>10377</v>
      </c>
      <c r="G95" s="2">
        <v>7424</v>
      </c>
    </row>
    <row r="96" spans="1:7">
      <c r="A96" s="2">
        <v>7</v>
      </c>
      <c r="B96" s="2">
        <v>16001</v>
      </c>
      <c r="C96" s="2">
        <v>67679</v>
      </c>
      <c r="D96" s="2">
        <v>14197</v>
      </c>
      <c r="E96" s="2">
        <v>59354</v>
      </c>
      <c r="F96" s="2">
        <v>10377</v>
      </c>
      <c r="G96" s="2">
        <v>7424</v>
      </c>
    </row>
    <row r="97" spans="1:7">
      <c r="A97" s="2">
        <v>6</v>
      </c>
      <c r="B97" s="2">
        <v>16001</v>
      </c>
      <c r="C97" s="2">
        <v>67679</v>
      </c>
      <c r="D97" s="2">
        <v>14083</v>
      </c>
      <c r="E97" s="2">
        <v>59354</v>
      </c>
      <c r="F97" s="2">
        <v>10377</v>
      </c>
      <c r="G97" s="2">
        <v>7424</v>
      </c>
    </row>
    <row r="98" spans="1:7">
      <c r="A98" s="2">
        <v>5</v>
      </c>
      <c r="B98" s="2">
        <v>16001</v>
      </c>
      <c r="C98" s="2">
        <v>67679</v>
      </c>
      <c r="D98" s="2">
        <v>13955</v>
      </c>
      <c r="E98" s="2">
        <v>59354</v>
      </c>
      <c r="F98" s="2">
        <v>10377</v>
      </c>
      <c r="G98" s="2">
        <v>7424</v>
      </c>
    </row>
    <row r="99" spans="1:7">
      <c r="A99" s="2">
        <v>4</v>
      </c>
      <c r="B99" s="2">
        <v>16001</v>
      </c>
      <c r="C99" s="2">
        <v>67679</v>
      </c>
      <c r="D99" s="2">
        <v>13830</v>
      </c>
      <c r="E99" s="2">
        <v>59354</v>
      </c>
      <c r="F99" s="2">
        <v>10377</v>
      </c>
      <c r="G99" s="2">
        <v>7424</v>
      </c>
    </row>
    <row r="100" spans="1:7">
      <c r="A100" s="2">
        <v>3</v>
      </c>
      <c r="B100" s="2">
        <v>16001</v>
      </c>
      <c r="C100" s="2">
        <v>67679</v>
      </c>
      <c r="D100" s="2">
        <v>13698</v>
      </c>
      <c r="E100" s="2">
        <v>59354</v>
      </c>
      <c r="F100" s="2">
        <v>10377</v>
      </c>
      <c r="G100" s="2">
        <v>7424</v>
      </c>
    </row>
    <row r="101" spans="1:7">
      <c r="A101" s="2">
        <v>2</v>
      </c>
      <c r="B101" s="2">
        <v>16001</v>
      </c>
      <c r="C101" s="2">
        <v>67679</v>
      </c>
      <c r="D101" s="2">
        <v>13577</v>
      </c>
      <c r="E101" s="2">
        <v>59354</v>
      </c>
      <c r="F101" s="2">
        <v>10377</v>
      </c>
      <c r="G101" s="2">
        <v>7424</v>
      </c>
    </row>
    <row r="102" spans="1:7">
      <c r="A102" s="2">
        <v>1</v>
      </c>
      <c r="B102" s="2">
        <v>16001</v>
      </c>
      <c r="C102" s="2">
        <v>67679</v>
      </c>
      <c r="D102" s="2">
        <v>13406</v>
      </c>
      <c r="E102" s="2">
        <v>59354</v>
      </c>
      <c r="F102" s="2">
        <v>10377</v>
      </c>
      <c r="G102" s="2">
        <v>7424</v>
      </c>
    </row>
    <row r="103" spans="1:7">
      <c r="A103" s="2">
        <v>0</v>
      </c>
      <c r="B103" s="2">
        <v>16001</v>
      </c>
      <c r="C103" s="2">
        <v>67679</v>
      </c>
      <c r="D103" s="2">
        <v>13232</v>
      </c>
      <c r="E103" s="2">
        <v>59354</v>
      </c>
      <c r="F103" s="2">
        <v>10377</v>
      </c>
      <c r="G103" s="2">
        <v>7424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5A04-79AD-E94C-AFDC-20215EB7EF7E}">
  <dimension ref="A1:G103"/>
  <sheetViews>
    <sheetView workbookViewId="0">
      <selection activeCell="A2" sqref="A2"/>
    </sheetView>
  </sheetViews>
  <sheetFormatPr baseColWidth="10" defaultRowHeight="16"/>
  <cols>
    <col min="1" max="1" width="13.85546875" customWidth="1"/>
  </cols>
  <sheetData>
    <row r="1" spans="1:7">
      <c r="A1" s="9" t="s">
        <v>117</v>
      </c>
      <c r="B1" s="9"/>
      <c r="C1" s="9"/>
      <c r="D1" s="9"/>
    </row>
    <row r="3" spans="1:7">
      <c r="A3" s="1" t="s">
        <v>118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96</v>
      </c>
    </row>
    <row r="4" spans="1:7">
      <c r="A4" s="2">
        <v>99</v>
      </c>
      <c r="B4" s="2">
        <v>16001</v>
      </c>
      <c r="C4" s="2">
        <v>67679</v>
      </c>
      <c r="D4" s="2">
        <v>20905</v>
      </c>
      <c r="E4" s="2">
        <v>59354</v>
      </c>
      <c r="F4" s="2">
        <v>10377</v>
      </c>
      <c r="G4" s="2">
        <v>7424</v>
      </c>
    </row>
    <row r="5" spans="1:7">
      <c r="A5" s="2">
        <v>98</v>
      </c>
      <c r="B5" s="2">
        <v>16001</v>
      </c>
      <c r="C5" s="2">
        <v>67656</v>
      </c>
      <c r="D5" s="2">
        <v>20893</v>
      </c>
      <c r="E5" s="2">
        <v>59344</v>
      </c>
      <c r="F5" s="2">
        <v>10375</v>
      </c>
      <c r="G5" s="2">
        <v>7424</v>
      </c>
    </row>
    <row r="6" spans="1:7">
      <c r="A6" s="2">
        <v>97</v>
      </c>
      <c r="B6" s="2">
        <v>16001</v>
      </c>
      <c r="C6" s="2">
        <v>67645</v>
      </c>
      <c r="D6" s="2">
        <v>20891</v>
      </c>
      <c r="E6" s="2">
        <v>59342</v>
      </c>
      <c r="F6" s="2">
        <v>10375</v>
      </c>
      <c r="G6" s="2">
        <v>7424</v>
      </c>
    </row>
    <row r="7" spans="1:7">
      <c r="A7" s="2">
        <v>96</v>
      </c>
      <c r="B7" s="2">
        <v>16001</v>
      </c>
      <c r="C7" s="2">
        <v>67635</v>
      </c>
      <c r="D7" s="2">
        <v>20886</v>
      </c>
      <c r="E7" s="2">
        <v>59337</v>
      </c>
      <c r="F7" s="2">
        <v>10375</v>
      </c>
      <c r="G7" s="2">
        <v>7424</v>
      </c>
    </row>
    <row r="8" spans="1:7">
      <c r="A8" s="2">
        <v>95</v>
      </c>
      <c r="B8" s="2">
        <v>16001</v>
      </c>
      <c r="C8" s="2">
        <v>67632</v>
      </c>
      <c r="D8" s="2">
        <v>20877</v>
      </c>
      <c r="E8" s="2">
        <v>59336</v>
      </c>
      <c r="F8" s="2">
        <v>10375</v>
      </c>
      <c r="G8" s="2">
        <v>7424</v>
      </c>
    </row>
    <row r="9" spans="1:7">
      <c r="A9" s="2">
        <v>94</v>
      </c>
      <c r="B9" s="2">
        <v>16001</v>
      </c>
      <c r="C9" s="2">
        <v>67626</v>
      </c>
      <c r="D9" s="2">
        <v>20872</v>
      </c>
      <c r="E9" s="2">
        <v>59330</v>
      </c>
      <c r="F9" s="2">
        <v>10370</v>
      </c>
      <c r="G9" s="2">
        <v>7424</v>
      </c>
    </row>
    <row r="10" spans="1:7">
      <c r="A10" s="2">
        <v>93</v>
      </c>
      <c r="B10" s="2">
        <v>16001</v>
      </c>
      <c r="C10" s="2">
        <v>67620</v>
      </c>
      <c r="D10" s="2">
        <v>20862</v>
      </c>
      <c r="E10" s="2">
        <v>59323</v>
      </c>
      <c r="F10" s="2">
        <v>10370</v>
      </c>
      <c r="G10" s="2">
        <v>7424</v>
      </c>
    </row>
    <row r="11" spans="1:7">
      <c r="A11" s="2">
        <v>92</v>
      </c>
      <c r="B11" s="2">
        <v>16001</v>
      </c>
      <c r="C11" s="2">
        <v>67612</v>
      </c>
      <c r="D11" s="2">
        <v>20847</v>
      </c>
      <c r="E11" s="2">
        <v>59305</v>
      </c>
      <c r="F11" s="2">
        <v>10369</v>
      </c>
      <c r="G11" s="2">
        <v>7424</v>
      </c>
    </row>
    <row r="12" spans="1:7">
      <c r="A12" s="2">
        <v>91</v>
      </c>
      <c r="B12" s="2">
        <v>16001</v>
      </c>
      <c r="C12" s="2">
        <v>67599</v>
      </c>
      <c r="D12" s="2">
        <v>20837</v>
      </c>
      <c r="E12" s="2">
        <v>59299</v>
      </c>
      <c r="F12" s="2">
        <v>10368</v>
      </c>
      <c r="G12" s="2">
        <v>7424</v>
      </c>
    </row>
    <row r="13" spans="1:7">
      <c r="A13" s="2">
        <v>90</v>
      </c>
      <c r="B13" s="2">
        <v>16001</v>
      </c>
      <c r="C13" s="2">
        <v>67580</v>
      </c>
      <c r="D13" s="2">
        <v>20831</v>
      </c>
      <c r="E13" s="2">
        <v>59275</v>
      </c>
      <c r="F13" s="2">
        <v>10368</v>
      </c>
      <c r="G13" s="2">
        <v>7424</v>
      </c>
    </row>
    <row r="14" spans="1:7">
      <c r="A14" s="2">
        <v>89</v>
      </c>
      <c r="B14" s="2">
        <v>16001</v>
      </c>
      <c r="C14" s="2">
        <v>67560</v>
      </c>
      <c r="D14" s="2">
        <v>20821</v>
      </c>
      <c r="E14" s="2">
        <v>59259</v>
      </c>
      <c r="F14" s="2">
        <v>10366</v>
      </c>
      <c r="G14" s="2">
        <v>7424</v>
      </c>
    </row>
    <row r="15" spans="1:7">
      <c r="A15" s="2">
        <v>88</v>
      </c>
      <c r="B15" s="2">
        <v>16001</v>
      </c>
      <c r="C15" s="2">
        <v>67548</v>
      </c>
      <c r="D15" s="2">
        <v>20808</v>
      </c>
      <c r="E15" s="2">
        <v>59247</v>
      </c>
      <c r="F15" s="2">
        <v>10366</v>
      </c>
      <c r="G15" s="2">
        <v>7424</v>
      </c>
    </row>
    <row r="16" spans="1:7">
      <c r="A16" s="2">
        <v>87</v>
      </c>
      <c r="B16" s="2">
        <v>16001</v>
      </c>
      <c r="C16" s="2">
        <v>67545</v>
      </c>
      <c r="D16" s="2">
        <v>20806</v>
      </c>
      <c r="E16" s="2">
        <v>59245</v>
      </c>
      <c r="F16" s="2">
        <v>10366</v>
      </c>
      <c r="G16" s="2">
        <v>7424</v>
      </c>
    </row>
    <row r="17" spans="1:7">
      <c r="A17" s="2">
        <v>86</v>
      </c>
      <c r="B17" s="2">
        <v>16001</v>
      </c>
      <c r="C17" s="2">
        <v>67532</v>
      </c>
      <c r="D17" s="2">
        <v>20797</v>
      </c>
      <c r="E17" s="2">
        <v>59243</v>
      </c>
      <c r="F17" s="2">
        <v>10366</v>
      </c>
      <c r="G17" s="2">
        <v>7424</v>
      </c>
    </row>
    <row r="18" spans="1:7">
      <c r="A18" s="2">
        <v>85</v>
      </c>
      <c r="B18" s="2">
        <v>16001</v>
      </c>
      <c r="C18" s="2">
        <v>67523</v>
      </c>
      <c r="D18" s="2">
        <v>20791</v>
      </c>
      <c r="E18" s="2">
        <v>59239</v>
      </c>
      <c r="F18" s="2">
        <v>10366</v>
      </c>
      <c r="G18" s="2">
        <v>7424</v>
      </c>
    </row>
    <row r="19" spans="1:7">
      <c r="A19" s="2">
        <v>84</v>
      </c>
      <c r="B19" s="2">
        <v>16001</v>
      </c>
      <c r="C19" s="2">
        <v>67509</v>
      </c>
      <c r="D19" s="2">
        <v>20777</v>
      </c>
      <c r="E19" s="2">
        <v>59236</v>
      </c>
      <c r="F19" s="2">
        <v>10366</v>
      </c>
      <c r="G19" s="2">
        <v>7424</v>
      </c>
    </row>
    <row r="20" spans="1:7">
      <c r="A20" s="2">
        <v>83</v>
      </c>
      <c r="B20" s="2">
        <v>16001</v>
      </c>
      <c r="C20" s="2">
        <v>67505</v>
      </c>
      <c r="D20" s="2">
        <v>20768</v>
      </c>
      <c r="E20" s="2">
        <v>59233</v>
      </c>
      <c r="F20" s="2">
        <v>10364</v>
      </c>
      <c r="G20" s="2">
        <v>7424</v>
      </c>
    </row>
    <row r="21" spans="1:7">
      <c r="A21" s="2">
        <v>82</v>
      </c>
      <c r="B21" s="2">
        <v>16001</v>
      </c>
      <c r="C21" s="2">
        <v>67490</v>
      </c>
      <c r="D21" s="2">
        <v>20760</v>
      </c>
      <c r="E21" s="2">
        <v>59228</v>
      </c>
      <c r="F21" s="2">
        <v>10364</v>
      </c>
      <c r="G21" s="2">
        <v>7424</v>
      </c>
    </row>
    <row r="22" spans="1:7">
      <c r="A22" s="2">
        <v>81</v>
      </c>
      <c r="B22" s="2">
        <v>16001</v>
      </c>
      <c r="C22" s="2">
        <v>67481</v>
      </c>
      <c r="D22" s="2">
        <v>20748</v>
      </c>
      <c r="E22" s="2">
        <v>59223</v>
      </c>
      <c r="F22" s="2">
        <v>10364</v>
      </c>
      <c r="G22" s="2">
        <v>7424</v>
      </c>
    </row>
    <row r="23" spans="1:7">
      <c r="A23" s="2">
        <v>80</v>
      </c>
      <c r="B23" s="2">
        <v>16001</v>
      </c>
      <c r="C23" s="2">
        <v>67476</v>
      </c>
      <c r="D23" s="2">
        <v>20738</v>
      </c>
      <c r="E23" s="2">
        <v>59220</v>
      </c>
      <c r="F23" s="2">
        <v>10364</v>
      </c>
      <c r="G23" s="2">
        <v>7424</v>
      </c>
    </row>
    <row r="24" spans="1:7">
      <c r="A24" s="2">
        <v>79</v>
      </c>
      <c r="B24" s="2">
        <v>16001</v>
      </c>
      <c r="C24" s="2">
        <v>67462</v>
      </c>
      <c r="D24" s="2">
        <v>20727</v>
      </c>
      <c r="E24" s="2">
        <v>59214</v>
      </c>
      <c r="F24" s="2">
        <v>10362</v>
      </c>
      <c r="G24" s="2">
        <v>7424</v>
      </c>
    </row>
    <row r="25" spans="1:7">
      <c r="A25" s="2">
        <v>78</v>
      </c>
      <c r="B25" s="2">
        <v>16001</v>
      </c>
      <c r="C25" s="2">
        <v>67436</v>
      </c>
      <c r="D25" s="2">
        <v>20716</v>
      </c>
      <c r="E25" s="2">
        <v>59208</v>
      </c>
      <c r="F25" s="2">
        <v>10361</v>
      </c>
      <c r="G25" s="2">
        <v>7424</v>
      </c>
    </row>
    <row r="26" spans="1:7">
      <c r="A26" s="2">
        <v>77</v>
      </c>
      <c r="B26" s="2">
        <v>16001</v>
      </c>
      <c r="C26" s="2">
        <v>67421</v>
      </c>
      <c r="D26" s="2">
        <v>20701</v>
      </c>
      <c r="E26" s="2">
        <v>59189</v>
      </c>
      <c r="F26" s="2">
        <v>10358</v>
      </c>
      <c r="G26" s="2">
        <v>7424</v>
      </c>
    </row>
    <row r="27" spans="1:7">
      <c r="A27" s="2">
        <v>76</v>
      </c>
      <c r="B27" s="2">
        <v>16001</v>
      </c>
      <c r="C27" s="2">
        <v>67410</v>
      </c>
      <c r="D27" s="2">
        <v>20696</v>
      </c>
      <c r="E27" s="2">
        <v>59176</v>
      </c>
      <c r="F27" s="2">
        <v>10357</v>
      </c>
      <c r="G27" s="2">
        <v>7424</v>
      </c>
    </row>
    <row r="28" spans="1:7">
      <c r="A28" s="2">
        <v>75</v>
      </c>
      <c r="B28" s="2">
        <v>16001</v>
      </c>
      <c r="C28" s="2">
        <v>67399</v>
      </c>
      <c r="D28" s="2">
        <v>20686</v>
      </c>
      <c r="E28" s="2">
        <v>59173</v>
      </c>
      <c r="F28" s="2">
        <v>10356</v>
      </c>
      <c r="G28" s="2">
        <v>7424</v>
      </c>
    </row>
    <row r="29" spans="1:7">
      <c r="A29" s="2">
        <v>74</v>
      </c>
      <c r="B29" s="2">
        <v>16001</v>
      </c>
      <c r="C29" s="2">
        <v>67390</v>
      </c>
      <c r="D29" s="2">
        <v>20683</v>
      </c>
      <c r="E29" s="2">
        <v>59171</v>
      </c>
      <c r="F29" s="2">
        <v>10356</v>
      </c>
      <c r="G29" s="2">
        <v>7424</v>
      </c>
    </row>
    <row r="30" spans="1:7">
      <c r="A30" s="2">
        <v>73</v>
      </c>
      <c r="B30" s="2">
        <v>16001</v>
      </c>
      <c r="C30" s="2">
        <v>67367</v>
      </c>
      <c r="D30" s="2">
        <v>20678</v>
      </c>
      <c r="E30" s="2">
        <v>59156</v>
      </c>
      <c r="F30" s="2">
        <v>10356</v>
      </c>
      <c r="G30" s="2">
        <v>7424</v>
      </c>
    </row>
    <row r="31" spans="1:7">
      <c r="A31" s="2">
        <v>72</v>
      </c>
      <c r="B31" s="2">
        <v>16001</v>
      </c>
      <c r="C31" s="2">
        <v>67358</v>
      </c>
      <c r="D31" s="2">
        <v>20669</v>
      </c>
      <c r="E31" s="2">
        <v>59147</v>
      </c>
      <c r="F31" s="2">
        <v>10354</v>
      </c>
      <c r="G31" s="2">
        <v>7424</v>
      </c>
    </row>
    <row r="32" spans="1:7">
      <c r="A32" s="2">
        <v>71</v>
      </c>
      <c r="B32" s="2">
        <v>16001</v>
      </c>
      <c r="C32" s="2">
        <v>67342</v>
      </c>
      <c r="D32" s="2">
        <v>20660</v>
      </c>
      <c r="E32" s="2">
        <v>59139</v>
      </c>
      <c r="F32" s="2">
        <v>10354</v>
      </c>
      <c r="G32" s="2">
        <v>7424</v>
      </c>
    </row>
    <row r="33" spans="1:7">
      <c r="A33" s="2">
        <v>70</v>
      </c>
      <c r="B33" s="2">
        <v>16001</v>
      </c>
      <c r="C33" s="2">
        <v>67325</v>
      </c>
      <c r="D33" s="2">
        <v>20646</v>
      </c>
      <c r="E33" s="2">
        <v>59117</v>
      </c>
      <c r="F33" s="2">
        <v>10353</v>
      </c>
      <c r="G33" s="2">
        <v>7424</v>
      </c>
    </row>
    <row r="34" spans="1:7">
      <c r="A34" s="2">
        <v>69</v>
      </c>
      <c r="B34" s="2">
        <v>16001</v>
      </c>
      <c r="C34" s="2">
        <v>67318</v>
      </c>
      <c r="D34" s="2">
        <v>20642</v>
      </c>
      <c r="E34" s="2">
        <v>59115</v>
      </c>
      <c r="F34" s="2">
        <v>10353</v>
      </c>
      <c r="G34" s="2">
        <v>7424</v>
      </c>
    </row>
    <row r="35" spans="1:7">
      <c r="A35" s="2">
        <v>68</v>
      </c>
      <c r="B35" s="2">
        <v>16001</v>
      </c>
      <c r="C35" s="2">
        <v>67308</v>
      </c>
      <c r="D35" s="2">
        <v>20640</v>
      </c>
      <c r="E35" s="2">
        <v>59111</v>
      </c>
      <c r="F35" s="2">
        <v>10353</v>
      </c>
      <c r="G35" s="2">
        <v>7424</v>
      </c>
    </row>
    <row r="36" spans="1:7">
      <c r="A36" s="2">
        <v>67</v>
      </c>
      <c r="B36" s="2">
        <v>16001</v>
      </c>
      <c r="C36" s="2">
        <v>67295</v>
      </c>
      <c r="D36" s="2">
        <v>20624</v>
      </c>
      <c r="E36" s="2">
        <v>59108</v>
      </c>
      <c r="F36" s="2">
        <v>10352</v>
      </c>
      <c r="G36" s="2">
        <v>7424</v>
      </c>
    </row>
    <row r="37" spans="1:7">
      <c r="A37" s="2">
        <v>66</v>
      </c>
      <c r="B37" s="2">
        <v>16001</v>
      </c>
      <c r="C37" s="2">
        <v>67291</v>
      </c>
      <c r="D37" s="2">
        <v>20617</v>
      </c>
      <c r="E37" s="2">
        <v>59108</v>
      </c>
      <c r="F37" s="2">
        <v>10352</v>
      </c>
      <c r="G37" s="2">
        <v>7424</v>
      </c>
    </row>
    <row r="38" spans="1:7">
      <c r="A38" s="2">
        <v>65</v>
      </c>
      <c r="B38" s="2">
        <v>16001</v>
      </c>
      <c r="C38" s="2">
        <v>67274</v>
      </c>
      <c r="D38" s="2">
        <v>20600</v>
      </c>
      <c r="E38" s="2">
        <v>59102</v>
      </c>
      <c r="F38" s="2">
        <v>10350</v>
      </c>
      <c r="G38" s="2">
        <v>7424</v>
      </c>
    </row>
    <row r="39" spans="1:7">
      <c r="A39" s="2">
        <v>64</v>
      </c>
      <c r="B39" s="2">
        <v>16001</v>
      </c>
      <c r="C39" s="2">
        <v>67269</v>
      </c>
      <c r="D39" s="2">
        <v>20587</v>
      </c>
      <c r="E39" s="2">
        <v>59093</v>
      </c>
      <c r="F39" s="2">
        <v>10349</v>
      </c>
      <c r="G39" s="2">
        <v>7424</v>
      </c>
    </row>
    <row r="40" spans="1:7">
      <c r="A40" s="2">
        <v>63</v>
      </c>
      <c r="B40" s="2">
        <v>16001</v>
      </c>
      <c r="C40" s="2">
        <v>67261</v>
      </c>
      <c r="D40" s="2">
        <v>20573</v>
      </c>
      <c r="E40" s="2">
        <v>59091</v>
      </c>
      <c r="F40" s="2">
        <v>10349</v>
      </c>
      <c r="G40" s="2">
        <v>7424</v>
      </c>
    </row>
    <row r="41" spans="1:7">
      <c r="A41" s="2">
        <v>62</v>
      </c>
      <c r="B41" s="2">
        <v>16001</v>
      </c>
      <c r="C41" s="2">
        <v>67244</v>
      </c>
      <c r="D41" s="2">
        <v>20564</v>
      </c>
      <c r="E41" s="2">
        <v>59086</v>
      </c>
      <c r="F41" s="2">
        <v>10349</v>
      </c>
      <c r="G41" s="2">
        <v>7424</v>
      </c>
    </row>
    <row r="42" spans="1:7">
      <c r="A42" s="2">
        <v>61</v>
      </c>
      <c r="B42" s="2">
        <v>16001</v>
      </c>
      <c r="C42" s="2">
        <v>67219</v>
      </c>
      <c r="D42" s="2">
        <v>20550</v>
      </c>
      <c r="E42" s="2">
        <v>59075</v>
      </c>
      <c r="F42" s="2">
        <v>10348</v>
      </c>
      <c r="G42" s="2">
        <v>7424</v>
      </c>
    </row>
    <row r="43" spans="1:7">
      <c r="A43" s="2">
        <v>60</v>
      </c>
      <c r="B43" s="2">
        <v>16001</v>
      </c>
      <c r="C43" s="2">
        <v>67206</v>
      </c>
      <c r="D43" s="2">
        <v>20539</v>
      </c>
      <c r="E43" s="2">
        <v>59066</v>
      </c>
      <c r="F43" s="2">
        <v>10347</v>
      </c>
      <c r="G43" s="2">
        <v>7424</v>
      </c>
    </row>
    <row r="44" spans="1:7">
      <c r="A44" s="2">
        <v>59</v>
      </c>
      <c r="B44" s="2">
        <v>16001</v>
      </c>
      <c r="C44" s="2">
        <v>67190</v>
      </c>
      <c r="D44" s="2">
        <v>20521</v>
      </c>
      <c r="E44" s="2">
        <v>59037</v>
      </c>
      <c r="F44" s="2">
        <v>10345</v>
      </c>
      <c r="G44" s="2">
        <v>7424</v>
      </c>
    </row>
    <row r="45" spans="1:7">
      <c r="A45" s="2">
        <v>58</v>
      </c>
      <c r="B45" s="2">
        <v>16001</v>
      </c>
      <c r="C45" s="2">
        <v>67172</v>
      </c>
      <c r="D45" s="2">
        <v>20504</v>
      </c>
      <c r="E45" s="2">
        <v>59012</v>
      </c>
      <c r="F45" s="2">
        <v>10344</v>
      </c>
      <c r="G45" s="2">
        <v>7424</v>
      </c>
    </row>
    <row r="46" spans="1:7">
      <c r="A46" s="2">
        <v>57</v>
      </c>
      <c r="B46" s="2">
        <v>16001</v>
      </c>
      <c r="C46" s="2">
        <v>67155</v>
      </c>
      <c r="D46" s="2">
        <v>20489</v>
      </c>
      <c r="E46" s="2">
        <v>59008</v>
      </c>
      <c r="F46" s="2">
        <v>10342</v>
      </c>
      <c r="G46" s="2">
        <v>7424</v>
      </c>
    </row>
    <row r="47" spans="1:7">
      <c r="A47" s="2">
        <v>56</v>
      </c>
      <c r="B47" s="2">
        <v>16001</v>
      </c>
      <c r="C47" s="2">
        <v>67142</v>
      </c>
      <c r="D47" s="2">
        <v>20476</v>
      </c>
      <c r="E47" s="2">
        <v>59003</v>
      </c>
      <c r="F47" s="2">
        <v>10339</v>
      </c>
      <c r="G47" s="2">
        <v>7424</v>
      </c>
    </row>
    <row r="48" spans="1:7">
      <c r="A48" s="2">
        <v>55</v>
      </c>
      <c r="B48" s="2">
        <v>16001</v>
      </c>
      <c r="C48" s="2">
        <v>67123</v>
      </c>
      <c r="D48" s="2">
        <v>20463</v>
      </c>
      <c r="E48" s="2">
        <v>58994</v>
      </c>
      <c r="F48" s="2">
        <v>10338</v>
      </c>
      <c r="G48" s="2">
        <v>7424</v>
      </c>
    </row>
    <row r="49" spans="1:7">
      <c r="A49" s="2">
        <v>54</v>
      </c>
      <c r="B49" s="2">
        <v>16001</v>
      </c>
      <c r="C49" s="2">
        <v>67100</v>
      </c>
      <c r="D49" s="2">
        <v>20445</v>
      </c>
      <c r="E49" s="2">
        <v>58976</v>
      </c>
      <c r="F49" s="2">
        <v>10335</v>
      </c>
      <c r="G49" s="2">
        <v>7424</v>
      </c>
    </row>
    <row r="50" spans="1:7">
      <c r="A50" s="2">
        <v>53</v>
      </c>
      <c r="B50" s="2">
        <v>16001</v>
      </c>
      <c r="C50" s="2">
        <v>67077</v>
      </c>
      <c r="D50" s="2">
        <v>20424</v>
      </c>
      <c r="E50" s="2">
        <v>58958</v>
      </c>
      <c r="F50" s="2">
        <v>10329</v>
      </c>
      <c r="G50" s="2">
        <v>7424</v>
      </c>
    </row>
    <row r="51" spans="1:7">
      <c r="A51" s="2">
        <v>52</v>
      </c>
      <c r="B51" s="2">
        <v>16001</v>
      </c>
      <c r="C51" s="2">
        <v>67059</v>
      </c>
      <c r="D51" s="2">
        <v>20417</v>
      </c>
      <c r="E51" s="2">
        <v>58945</v>
      </c>
      <c r="F51" s="2">
        <v>10327</v>
      </c>
      <c r="G51" s="2">
        <v>7424</v>
      </c>
    </row>
    <row r="52" spans="1:7">
      <c r="A52" s="2">
        <v>51</v>
      </c>
      <c r="B52" s="2">
        <v>16001</v>
      </c>
      <c r="C52" s="2">
        <v>67047</v>
      </c>
      <c r="D52" s="2">
        <v>20403</v>
      </c>
      <c r="E52" s="2">
        <v>58938</v>
      </c>
      <c r="F52" s="2">
        <v>10326</v>
      </c>
      <c r="G52" s="2">
        <v>7424</v>
      </c>
    </row>
    <row r="53" spans="1:7">
      <c r="A53" s="2">
        <v>50</v>
      </c>
      <c r="B53" s="2">
        <v>16001</v>
      </c>
      <c r="C53" s="2">
        <v>67029</v>
      </c>
      <c r="D53" s="2">
        <v>20396</v>
      </c>
      <c r="E53" s="2">
        <v>58934</v>
      </c>
      <c r="F53" s="2">
        <v>10325</v>
      </c>
      <c r="G53" s="2">
        <v>7424</v>
      </c>
    </row>
    <row r="54" spans="1:7">
      <c r="A54" s="2">
        <v>49</v>
      </c>
      <c r="B54" s="2">
        <v>15999</v>
      </c>
      <c r="C54" s="2">
        <v>67016</v>
      </c>
      <c r="D54" s="2">
        <v>20387</v>
      </c>
      <c r="E54" s="2">
        <v>58931</v>
      </c>
      <c r="F54" s="2">
        <v>10325</v>
      </c>
      <c r="G54" s="2">
        <v>7424</v>
      </c>
    </row>
    <row r="55" spans="1:7">
      <c r="A55" s="2">
        <v>48</v>
      </c>
      <c r="B55" s="2">
        <v>15998</v>
      </c>
      <c r="C55" s="2">
        <v>66987</v>
      </c>
      <c r="D55" s="2">
        <v>20366</v>
      </c>
      <c r="E55" s="2">
        <v>58916</v>
      </c>
      <c r="F55" s="2">
        <v>10324</v>
      </c>
      <c r="G55" s="2">
        <v>7424</v>
      </c>
    </row>
    <row r="56" spans="1:7">
      <c r="A56" s="2">
        <v>47</v>
      </c>
      <c r="B56" s="2">
        <v>15997</v>
      </c>
      <c r="C56" s="2">
        <v>66972</v>
      </c>
      <c r="D56" s="2">
        <v>20353</v>
      </c>
      <c r="E56" s="2">
        <v>58908</v>
      </c>
      <c r="F56" s="2">
        <v>10324</v>
      </c>
      <c r="G56" s="2">
        <v>7424</v>
      </c>
    </row>
    <row r="57" spans="1:7">
      <c r="A57" s="2">
        <v>46</v>
      </c>
      <c r="B57" s="2">
        <v>15994</v>
      </c>
      <c r="C57" s="2">
        <v>66956</v>
      </c>
      <c r="D57" s="2">
        <v>20340</v>
      </c>
      <c r="E57" s="2">
        <v>58899</v>
      </c>
      <c r="F57" s="2">
        <v>10322</v>
      </c>
      <c r="G57" s="2">
        <v>7424</v>
      </c>
    </row>
    <row r="58" spans="1:7">
      <c r="A58" s="2">
        <v>45</v>
      </c>
      <c r="B58" s="2">
        <v>15989</v>
      </c>
      <c r="C58" s="2">
        <v>66939</v>
      </c>
      <c r="D58" s="2">
        <v>20325</v>
      </c>
      <c r="E58" s="2">
        <v>58886</v>
      </c>
      <c r="F58" s="2">
        <v>10320</v>
      </c>
      <c r="G58" s="2">
        <v>7424</v>
      </c>
    </row>
    <row r="59" spans="1:7">
      <c r="A59" s="2">
        <v>44</v>
      </c>
      <c r="B59" s="2">
        <v>15986</v>
      </c>
      <c r="C59" s="2">
        <v>66925</v>
      </c>
      <c r="D59" s="2">
        <v>20316</v>
      </c>
      <c r="E59" s="2">
        <v>58873</v>
      </c>
      <c r="F59" s="2">
        <v>10315</v>
      </c>
      <c r="G59" s="2">
        <v>7424</v>
      </c>
    </row>
    <row r="60" spans="1:7">
      <c r="A60" s="2">
        <v>43</v>
      </c>
      <c r="B60" s="2">
        <v>15981</v>
      </c>
      <c r="C60" s="2">
        <v>66885</v>
      </c>
      <c r="D60" s="2">
        <v>20281</v>
      </c>
      <c r="E60" s="2">
        <v>58862</v>
      </c>
      <c r="F60" s="2">
        <v>10315</v>
      </c>
      <c r="G60" s="2">
        <v>7424</v>
      </c>
    </row>
    <row r="61" spans="1:7">
      <c r="A61" s="2">
        <v>42</v>
      </c>
      <c r="B61" s="2">
        <v>15977</v>
      </c>
      <c r="C61" s="2">
        <v>66878</v>
      </c>
      <c r="D61" s="2">
        <v>20271</v>
      </c>
      <c r="E61" s="2">
        <v>58858</v>
      </c>
      <c r="F61" s="2">
        <v>10313</v>
      </c>
      <c r="G61" s="2">
        <v>7424</v>
      </c>
    </row>
    <row r="62" spans="1:7">
      <c r="A62" s="2">
        <v>41</v>
      </c>
      <c r="B62" s="2">
        <v>15975</v>
      </c>
      <c r="C62" s="2">
        <v>66869</v>
      </c>
      <c r="D62" s="2">
        <v>20260</v>
      </c>
      <c r="E62" s="2">
        <v>58848</v>
      </c>
      <c r="F62" s="2">
        <v>10311</v>
      </c>
      <c r="G62" s="2">
        <v>7424</v>
      </c>
    </row>
    <row r="63" spans="1:7">
      <c r="A63" s="2">
        <v>40</v>
      </c>
      <c r="B63" s="2">
        <v>15967</v>
      </c>
      <c r="C63" s="2">
        <v>66856</v>
      </c>
      <c r="D63" s="2">
        <v>20255</v>
      </c>
      <c r="E63" s="2">
        <v>58840</v>
      </c>
      <c r="F63" s="2">
        <v>10308</v>
      </c>
      <c r="G63" s="2">
        <v>7424</v>
      </c>
    </row>
    <row r="64" spans="1:7">
      <c r="A64" s="2">
        <v>39</v>
      </c>
      <c r="B64" s="2">
        <v>15966</v>
      </c>
      <c r="C64" s="2">
        <v>66840</v>
      </c>
      <c r="D64" s="2">
        <v>20240</v>
      </c>
      <c r="E64" s="2">
        <v>58825</v>
      </c>
      <c r="F64" s="2">
        <v>10305</v>
      </c>
      <c r="G64" s="2">
        <v>7424</v>
      </c>
    </row>
    <row r="65" spans="1:7">
      <c r="A65" s="2">
        <v>38</v>
      </c>
      <c r="B65" s="2">
        <v>15960</v>
      </c>
      <c r="C65" s="2">
        <v>66826</v>
      </c>
      <c r="D65" s="2">
        <v>20219</v>
      </c>
      <c r="E65" s="2">
        <v>58812</v>
      </c>
      <c r="F65" s="2">
        <v>10301</v>
      </c>
      <c r="G65" s="2">
        <v>7424</v>
      </c>
    </row>
    <row r="66" spans="1:7">
      <c r="A66" s="2">
        <v>37</v>
      </c>
      <c r="B66" s="2">
        <v>15956</v>
      </c>
      <c r="C66" s="2">
        <v>66799</v>
      </c>
      <c r="D66" s="2">
        <v>20208</v>
      </c>
      <c r="E66" s="2">
        <v>58793</v>
      </c>
      <c r="F66" s="2">
        <v>10298</v>
      </c>
      <c r="G66" s="2">
        <v>7424</v>
      </c>
    </row>
    <row r="67" spans="1:7">
      <c r="A67" s="2">
        <v>36</v>
      </c>
      <c r="B67" s="2">
        <v>15945</v>
      </c>
      <c r="C67" s="2">
        <v>66755</v>
      </c>
      <c r="D67" s="2">
        <v>20201</v>
      </c>
      <c r="E67" s="2">
        <v>58773</v>
      </c>
      <c r="F67" s="2">
        <v>10293</v>
      </c>
      <c r="G67" s="2">
        <v>7424</v>
      </c>
    </row>
    <row r="68" spans="1:7">
      <c r="A68" s="2">
        <v>35</v>
      </c>
      <c r="B68" s="2">
        <v>15941</v>
      </c>
      <c r="C68" s="2">
        <v>66739</v>
      </c>
      <c r="D68" s="2">
        <v>20185</v>
      </c>
      <c r="E68" s="2">
        <v>58762</v>
      </c>
      <c r="F68" s="2">
        <v>10290</v>
      </c>
      <c r="G68" s="2">
        <v>7424</v>
      </c>
    </row>
    <row r="69" spans="1:7">
      <c r="A69" s="2">
        <v>34</v>
      </c>
      <c r="B69" s="2">
        <v>15933</v>
      </c>
      <c r="C69" s="2">
        <v>66716</v>
      </c>
      <c r="D69" s="2">
        <v>20166</v>
      </c>
      <c r="E69" s="2">
        <v>58752</v>
      </c>
      <c r="F69" s="2">
        <v>10288</v>
      </c>
      <c r="G69" s="2">
        <v>7424</v>
      </c>
    </row>
    <row r="70" spans="1:7">
      <c r="A70" s="2">
        <v>33</v>
      </c>
      <c r="B70" s="2">
        <v>15920</v>
      </c>
      <c r="C70" s="2">
        <v>66690</v>
      </c>
      <c r="D70" s="2">
        <v>20149</v>
      </c>
      <c r="E70" s="2">
        <v>58728</v>
      </c>
      <c r="F70" s="2">
        <v>10288</v>
      </c>
      <c r="G70" s="2">
        <v>7424</v>
      </c>
    </row>
    <row r="71" spans="1:7">
      <c r="A71" s="2">
        <v>32</v>
      </c>
      <c r="B71" s="2">
        <v>15909</v>
      </c>
      <c r="C71" s="2">
        <v>66662</v>
      </c>
      <c r="D71" s="2">
        <v>20115</v>
      </c>
      <c r="E71" s="2">
        <v>58675</v>
      </c>
      <c r="F71" s="2">
        <v>10286</v>
      </c>
      <c r="G71" s="2">
        <v>7424</v>
      </c>
    </row>
    <row r="72" spans="1:7">
      <c r="A72" s="2">
        <v>31</v>
      </c>
      <c r="B72" s="2">
        <v>15898</v>
      </c>
      <c r="C72" s="2">
        <v>66627</v>
      </c>
      <c r="D72" s="2">
        <v>20075</v>
      </c>
      <c r="E72" s="2">
        <v>58648</v>
      </c>
      <c r="F72" s="2">
        <v>10274</v>
      </c>
      <c r="G72" s="2">
        <v>7424</v>
      </c>
    </row>
    <row r="73" spans="1:7">
      <c r="A73" s="2">
        <v>30</v>
      </c>
      <c r="B73" s="2">
        <v>15888</v>
      </c>
      <c r="C73" s="2">
        <v>66572</v>
      </c>
      <c r="D73" s="2">
        <v>20016</v>
      </c>
      <c r="E73" s="2">
        <v>58576</v>
      </c>
      <c r="F73" s="2">
        <v>10262</v>
      </c>
      <c r="G73" s="2">
        <v>7424</v>
      </c>
    </row>
    <row r="74" spans="1:7">
      <c r="A74" s="2">
        <v>29</v>
      </c>
      <c r="B74" s="2">
        <v>15872</v>
      </c>
      <c r="C74" s="2">
        <v>66507</v>
      </c>
      <c r="D74" s="2">
        <v>19979</v>
      </c>
      <c r="E74" s="2">
        <v>58524</v>
      </c>
      <c r="F74" s="2">
        <v>10256</v>
      </c>
      <c r="G74" s="2">
        <v>7424</v>
      </c>
    </row>
    <row r="75" spans="1:7">
      <c r="A75" s="2">
        <v>28</v>
      </c>
      <c r="B75" s="2">
        <v>15854</v>
      </c>
      <c r="C75" s="2">
        <v>66471</v>
      </c>
      <c r="D75" s="2">
        <v>19954</v>
      </c>
      <c r="E75" s="2">
        <v>58477</v>
      </c>
      <c r="F75" s="2">
        <v>10248</v>
      </c>
      <c r="G75" s="2">
        <v>7424</v>
      </c>
    </row>
    <row r="76" spans="1:7">
      <c r="A76" s="2">
        <v>27</v>
      </c>
      <c r="B76" s="2">
        <v>15836</v>
      </c>
      <c r="C76" s="2">
        <v>66405</v>
      </c>
      <c r="D76" s="2">
        <v>19917</v>
      </c>
      <c r="E76" s="2">
        <v>58444</v>
      </c>
      <c r="F76" s="2">
        <v>10238</v>
      </c>
      <c r="G76" s="2">
        <v>7424</v>
      </c>
    </row>
    <row r="77" spans="1:7">
      <c r="A77" s="2">
        <v>26</v>
      </c>
      <c r="B77" s="2">
        <v>15817</v>
      </c>
      <c r="C77" s="2">
        <v>66337</v>
      </c>
      <c r="D77" s="2">
        <v>19871</v>
      </c>
      <c r="E77" s="2">
        <v>58395</v>
      </c>
      <c r="F77" s="2">
        <v>10234</v>
      </c>
      <c r="G77" s="2">
        <v>7424</v>
      </c>
    </row>
    <row r="78" spans="1:7">
      <c r="A78" s="2">
        <v>25</v>
      </c>
      <c r="B78" s="2">
        <v>15800</v>
      </c>
      <c r="C78" s="2">
        <v>66261</v>
      </c>
      <c r="D78" s="2">
        <v>19817</v>
      </c>
      <c r="E78" s="2">
        <v>58316</v>
      </c>
      <c r="F78" s="2">
        <v>10220</v>
      </c>
      <c r="G78" s="2">
        <v>7424</v>
      </c>
    </row>
    <row r="79" spans="1:7">
      <c r="A79" s="2">
        <v>24</v>
      </c>
      <c r="B79" s="2">
        <v>15778</v>
      </c>
      <c r="C79" s="2">
        <v>66174</v>
      </c>
      <c r="D79" s="2">
        <v>19777</v>
      </c>
      <c r="E79" s="2">
        <v>58242</v>
      </c>
      <c r="F79" s="2">
        <v>10204</v>
      </c>
      <c r="G79" s="2">
        <v>7424</v>
      </c>
    </row>
    <row r="80" spans="1:7">
      <c r="A80" s="2">
        <v>23</v>
      </c>
      <c r="B80" s="2">
        <v>15758</v>
      </c>
      <c r="C80" s="2">
        <v>66058</v>
      </c>
      <c r="D80" s="2">
        <v>19719</v>
      </c>
      <c r="E80" s="2">
        <v>58168</v>
      </c>
      <c r="F80" s="2">
        <v>10199</v>
      </c>
      <c r="G80" s="2">
        <v>7424</v>
      </c>
    </row>
    <row r="81" spans="1:7">
      <c r="A81" s="2">
        <v>22</v>
      </c>
      <c r="B81" s="2">
        <v>15732</v>
      </c>
      <c r="C81" s="2">
        <v>65998</v>
      </c>
      <c r="D81" s="2">
        <v>19676</v>
      </c>
      <c r="E81" s="2">
        <v>58075</v>
      </c>
      <c r="F81" s="2">
        <v>10183</v>
      </c>
      <c r="G81" s="2">
        <v>7424</v>
      </c>
    </row>
    <row r="82" spans="1:7">
      <c r="A82" s="2">
        <v>21</v>
      </c>
      <c r="B82" s="2">
        <v>15706</v>
      </c>
      <c r="C82" s="2">
        <v>65931</v>
      </c>
      <c r="D82" s="2">
        <v>19616</v>
      </c>
      <c r="E82" s="2">
        <v>58013</v>
      </c>
      <c r="F82" s="2">
        <v>10166</v>
      </c>
      <c r="G82" s="2">
        <v>7424</v>
      </c>
    </row>
    <row r="83" spans="1:7">
      <c r="A83" s="2">
        <v>20</v>
      </c>
      <c r="B83" s="2">
        <v>15683</v>
      </c>
      <c r="C83" s="2">
        <v>65833</v>
      </c>
      <c r="D83" s="2">
        <v>19543</v>
      </c>
      <c r="E83" s="2">
        <v>57925</v>
      </c>
      <c r="F83" s="2">
        <v>10147</v>
      </c>
      <c r="G83" s="2">
        <v>7424</v>
      </c>
    </row>
    <row r="84" spans="1:7">
      <c r="A84" s="2">
        <v>19</v>
      </c>
      <c r="B84" s="2">
        <v>15651</v>
      </c>
      <c r="C84" s="2">
        <v>65701</v>
      </c>
      <c r="D84" s="2">
        <v>19485</v>
      </c>
      <c r="E84" s="2">
        <v>57802</v>
      </c>
      <c r="F84" s="2">
        <v>10126</v>
      </c>
      <c r="G84" s="2">
        <v>7424</v>
      </c>
    </row>
    <row r="85" spans="1:7">
      <c r="A85" s="2">
        <v>18</v>
      </c>
      <c r="B85" s="2">
        <v>15619</v>
      </c>
      <c r="C85" s="2">
        <v>65553</v>
      </c>
      <c r="D85" s="2">
        <v>19416</v>
      </c>
      <c r="E85" s="2">
        <v>57689</v>
      </c>
      <c r="F85" s="2">
        <v>10106</v>
      </c>
      <c r="G85" s="2">
        <v>7424</v>
      </c>
    </row>
    <row r="86" spans="1:7">
      <c r="A86" s="2">
        <v>17</v>
      </c>
      <c r="B86" s="2">
        <v>15576</v>
      </c>
      <c r="C86" s="2">
        <v>65403</v>
      </c>
      <c r="D86" s="2">
        <v>19323</v>
      </c>
      <c r="E86" s="2">
        <v>57480</v>
      </c>
      <c r="F86" s="2">
        <v>10073</v>
      </c>
      <c r="G86" s="2">
        <v>7424</v>
      </c>
    </row>
    <row r="87" spans="1:7">
      <c r="A87" s="2">
        <v>16</v>
      </c>
      <c r="B87" s="2">
        <v>15547</v>
      </c>
      <c r="C87" s="2">
        <v>65310</v>
      </c>
      <c r="D87" s="2">
        <v>19233</v>
      </c>
      <c r="E87" s="2">
        <v>57383</v>
      </c>
      <c r="F87" s="2">
        <v>10054</v>
      </c>
      <c r="G87" s="2">
        <v>7424</v>
      </c>
    </row>
    <row r="88" spans="1:7">
      <c r="A88" s="2">
        <v>15</v>
      </c>
      <c r="B88" s="2">
        <v>15505</v>
      </c>
      <c r="C88" s="2">
        <v>65209</v>
      </c>
      <c r="D88" s="2">
        <v>19130</v>
      </c>
      <c r="E88" s="2">
        <v>57281</v>
      </c>
      <c r="F88" s="2">
        <v>10035</v>
      </c>
      <c r="G88" s="2">
        <v>7424</v>
      </c>
    </row>
    <row r="89" spans="1:7">
      <c r="A89" s="2">
        <v>14</v>
      </c>
      <c r="B89" s="2">
        <v>15463</v>
      </c>
      <c r="C89" s="2">
        <v>65095</v>
      </c>
      <c r="D89" s="2">
        <v>19052</v>
      </c>
      <c r="E89" s="2">
        <v>57154</v>
      </c>
      <c r="F89" s="2">
        <v>10021</v>
      </c>
      <c r="G89" s="2">
        <v>7424</v>
      </c>
    </row>
    <row r="90" spans="1:7">
      <c r="A90" s="2">
        <v>13</v>
      </c>
      <c r="B90" s="2">
        <v>15438</v>
      </c>
      <c r="C90" s="2">
        <v>64957</v>
      </c>
      <c r="D90" s="2">
        <v>18968</v>
      </c>
      <c r="E90" s="2">
        <v>57059</v>
      </c>
      <c r="F90" s="2">
        <v>10001</v>
      </c>
      <c r="G90" s="2">
        <v>7424</v>
      </c>
    </row>
    <row r="91" spans="1:7">
      <c r="A91" s="2">
        <v>12</v>
      </c>
      <c r="B91" s="2">
        <v>15402</v>
      </c>
      <c r="C91" s="2">
        <v>64845</v>
      </c>
      <c r="D91" s="2">
        <v>18862</v>
      </c>
      <c r="E91" s="2">
        <v>56905</v>
      </c>
      <c r="F91" s="2">
        <v>9975</v>
      </c>
      <c r="G91" s="2">
        <v>7424</v>
      </c>
    </row>
    <row r="92" spans="1:7">
      <c r="A92" s="2">
        <v>11</v>
      </c>
      <c r="B92" s="2">
        <v>15380</v>
      </c>
      <c r="C92" s="2">
        <v>64726</v>
      </c>
      <c r="D92" s="2">
        <v>18784</v>
      </c>
      <c r="E92" s="2">
        <v>56821</v>
      </c>
      <c r="F92" s="2">
        <v>9960</v>
      </c>
      <c r="G92" s="2">
        <v>7424</v>
      </c>
    </row>
    <row r="93" spans="1:7">
      <c r="A93" s="2">
        <v>10</v>
      </c>
      <c r="B93" s="2">
        <v>15340</v>
      </c>
      <c r="C93" s="2">
        <v>64578</v>
      </c>
      <c r="D93" s="2">
        <v>18694</v>
      </c>
      <c r="E93" s="2">
        <v>56679</v>
      </c>
      <c r="F93" s="2">
        <v>9934</v>
      </c>
      <c r="G93" s="2">
        <v>7424</v>
      </c>
    </row>
    <row r="94" spans="1:7">
      <c r="A94" s="2">
        <v>9</v>
      </c>
      <c r="B94" s="2">
        <v>15314</v>
      </c>
      <c r="C94" s="2">
        <v>64482</v>
      </c>
      <c r="D94" s="2">
        <v>18611</v>
      </c>
      <c r="E94" s="2">
        <v>56592</v>
      </c>
      <c r="F94" s="2">
        <v>9928</v>
      </c>
      <c r="G94" s="2">
        <v>7424</v>
      </c>
    </row>
    <row r="95" spans="1:7">
      <c r="A95" s="2">
        <v>8</v>
      </c>
      <c r="B95" s="2">
        <v>15282</v>
      </c>
      <c r="C95" s="2">
        <v>64387</v>
      </c>
      <c r="D95" s="2">
        <v>18514</v>
      </c>
      <c r="E95" s="2">
        <v>56483</v>
      </c>
      <c r="F95" s="2">
        <v>9913</v>
      </c>
      <c r="G95" s="2">
        <v>7424</v>
      </c>
    </row>
    <row r="96" spans="1:7">
      <c r="A96" s="2">
        <v>7</v>
      </c>
      <c r="B96" s="2">
        <v>15257</v>
      </c>
      <c r="C96" s="2">
        <v>64288</v>
      </c>
      <c r="D96" s="2">
        <v>18408</v>
      </c>
      <c r="E96" s="2">
        <v>56384</v>
      </c>
      <c r="F96" s="2">
        <v>9902</v>
      </c>
      <c r="G96" s="2">
        <v>7424</v>
      </c>
    </row>
    <row r="97" spans="1:7">
      <c r="A97" s="2">
        <v>6</v>
      </c>
      <c r="B97" s="2">
        <v>15235</v>
      </c>
      <c r="C97" s="2">
        <v>64217</v>
      </c>
      <c r="D97" s="2">
        <v>18318</v>
      </c>
      <c r="E97" s="2">
        <v>56325</v>
      </c>
      <c r="F97" s="2">
        <v>9888</v>
      </c>
      <c r="G97" s="2">
        <v>7424</v>
      </c>
    </row>
    <row r="98" spans="1:7">
      <c r="A98" s="2">
        <v>5</v>
      </c>
      <c r="B98" s="2">
        <v>15213</v>
      </c>
      <c r="C98" s="2">
        <v>64103</v>
      </c>
      <c r="D98" s="2">
        <v>18176</v>
      </c>
      <c r="E98" s="2">
        <v>56242</v>
      </c>
      <c r="F98" s="2">
        <v>9869</v>
      </c>
      <c r="G98" s="2">
        <v>7424</v>
      </c>
    </row>
    <row r="99" spans="1:7">
      <c r="A99" s="2">
        <v>4</v>
      </c>
      <c r="B99" s="2">
        <v>15182</v>
      </c>
      <c r="C99" s="2">
        <v>63988</v>
      </c>
      <c r="D99" s="2">
        <v>18061</v>
      </c>
      <c r="E99" s="2">
        <v>56135</v>
      </c>
      <c r="F99" s="2">
        <v>9862</v>
      </c>
      <c r="G99" s="2">
        <v>7424</v>
      </c>
    </row>
    <row r="100" spans="1:7">
      <c r="A100" s="2">
        <v>3</v>
      </c>
      <c r="B100" s="2">
        <v>15166</v>
      </c>
      <c r="C100" s="2">
        <v>63859</v>
      </c>
      <c r="D100" s="2">
        <v>17915</v>
      </c>
      <c r="E100" s="2">
        <v>55999</v>
      </c>
      <c r="F100" s="2">
        <v>9855</v>
      </c>
      <c r="G100" s="2">
        <v>7424</v>
      </c>
    </row>
    <row r="101" spans="1:7">
      <c r="A101" s="2">
        <v>2</v>
      </c>
      <c r="B101" s="2">
        <v>15154</v>
      </c>
      <c r="C101" s="2">
        <v>63724</v>
      </c>
      <c r="D101" s="2">
        <v>17714</v>
      </c>
      <c r="E101" s="2">
        <v>55859</v>
      </c>
      <c r="F101" s="2">
        <v>9847</v>
      </c>
      <c r="G101" s="2">
        <v>7424</v>
      </c>
    </row>
    <row r="102" spans="1:7">
      <c r="A102" s="2">
        <v>1</v>
      </c>
      <c r="B102" s="2">
        <v>15128</v>
      </c>
      <c r="C102" s="2">
        <v>63545</v>
      </c>
      <c r="D102" s="2">
        <v>17395</v>
      </c>
      <c r="E102" s="2">
        <v>55639</v>
      </c>
      <c r="F102" s="2">
        <v>9821</v>
      </c>
      <c r="G102" s="2">
        <v>7424</v>
      </c>
    </row>
    <row r="103" spans="1:7">
      <c r="A103" s="2">
        <v>0</v>
      </c>
      <c r="B103" s="2">
        <v>15096</v>
      </c>
      <c r="C103" s="2">
        <v>63325</v>
      </c>
      <c r="D103" s="2">
        <v>16982</v>
      </c>
      <c r="E103" s="2">
        <v>55349</v>
      </c>
      <c r="F103" s="2">
        <v>9782</v>
      </c>
      <c r="G103" s="2">
        <v>7424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50B5-34EA-8C43-868E-52F4160D1DF2}">
  <dimension ref="A1:G103"/>
  <sheetViews>
    <sheetView workbookViewId="0">
      <selection activeCell="A2" sqref="A2"/>
    </sheetView>
  </sheetViews>
  <sheetFormatPr baseColWidth="10" defaultRowHeight="16"/>
  <cols>
    <col min="1" max="1" width="15.28515625" customWidth="1"/>
  </cols>
  <sheetData>
    <row r="1" spans="1:7">
      <c r="A1" s="9" t="s">
        <v>128</v>
      </c>
      <c r="B1" s="9"/>
      <c r="C1" s="9"/>
      <c r="D1" s="9"/>
      <c r="E1" s="9"/>
    </row>
    <row r="3" spans="1:7">
      <c r="A3" s="1" t="s">
        <v>119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96</v>
      </c>
    </row>
    <row r="4" spans="1:7">
      <c r="A4" s="2">
        <v>99</v>
      </c>
      <c r="B4" s="2">
        <v>16001</v>
      </c>
      <c r="C4" s="2">
        <v>67679</v>
      </c>
      <c r="D4" s="2">
        <v>20905</v>
      </c>
      <c r="E4" s="2">
        <v>59354</v>
      </c>
      <c r="F4" s="2">
        <v>10377</v>
      </c>
      <c r="G4" s="2">
        <v>7424</v>
      </c>
    </row>
    <row r="5" spans="1:7">
      <c r="A5" s="2">
        <v>98</v>
      </c>
      <c r="B5" s="2">
        <v>16001</v>
      </c>
      <c r="C5" s="2">
        <v>67679</v>
      </c>
      <c r="D5" s="2">
        <v>20896</v>
      </c>
      <c r="E5" s="2">
        <v>59354</v>
      </c>
      <c r="F5" s="2">
        <v>10377</v>
      </c>
      <c r="G5" s="2">
        <v>7424</v>
      </c>
    </row>
    <row r="6" spans="1:7">
      <c r="A6" s="2">
        <v>97</v>
      </c>
      <c r="B6" s="2">
        <v>16001</v>
      </c>
      <c r="C6" s="2">
        <v>67679</v>
      </c>
      <c r="D6" s="2">
        <v>20889</v>
      </c>
      <c r="E6" s="2">
        <v>59354</v>
      </c>
      <c r="F6" s="2">
        <v>10377</v>
      </c>
      <c r="G6" s="2">
        <v>7424</v>
      </c>
    </row>
    <row r="7" spans="1:7">
      <c r="A7" s="2">
        <v>96</v>
      </c>
      <c r="B7" s="2">
        <v>16001</v>
      </c>
      <c r="C7" s="2">
        <v>67679</v>
      </c>
      <c r="D7" s="2">
        <v>20877</v>
      </c>
      <c r="E7" s="2">
        <v>59354</v>
      </c>
      <c r="F7" s="2">
        <v>10377</v>
      </c>
      <c r="G7" s="2">
        <v>7424</v>
      </c>
    </row>
    <row r="8" spans="1:7">
      <c r="A8" s="2">
        <v>95</v>
      </c>
      <c r="B8" s="2">
        <v>16001</v>
      </c>
      <c r="C8" s="2">
        <v>67679</v>
      </c>
      <c r="D8" s="2">
        <v>20870</v>
      </c>
      <c r="E8" s="2">
        <v>59354</v>
      </c>
      <c r="F8" s="2">
        <v>10377</v>
      </c>
      <c r="G8" s="2">
        <v>7424</v>
      </c>
    </row>
    <row r="9" spans="1:7">
      <c r="A9" s="2">
        <v>94</v>
      </c>
      <c r="B9" s="2">
        <v>16001</v>
      </c>
      <c r="C9" s="2">
        <v>67679</v>
      </c>
      <c r="D9" s="2">
        <v>20857</v>
      </c>
      <c r="E9" s="2">
        <v>59354</v>
      </c>
      <c r="F9" s="2">
        <v>10377</v>
      </c>
      <c r="G9" s="2">
        <v>7424</v>
      </c>
    </row>
    <row r="10" spans="1:7">
      <c r="A10" s="2">
        <v>93</v>
      </c>
      <c r="B10" s="2">
        <v>16001</v>
      </c>
      <c r="C10" s="2">
        <v>67679</v>
      </c>
      <c r="D10" s="2">
        <v>20850</v>
      </c>
      <c r="E10" s="2">
        <v>59354</v>
      </c>
      <c r="F10" s="2">
        <v>10377</v>
      </c>
      <c r="G10" s="2">
        <v>7424</v>
      </c>
    </row>
    <row r="11" spans="1:7">
      <c r="A11" s="2">
        <v>92</v>
      </c>
      <c r="B11" s="2">
        <v>16001</v>
      </c>
      <c r="C11" s="2">
        <v>67679</v>
      </c>
      <c r="D11" s="2">
        <v>20840</v>
      </c>
      <c r="E11" s="2">
        <v>59354</v>
      </c>
      <c r="F11" s="2">
        <v>10377</v>
      </c>
      <c r="G11" s="2">
        <v>7424</v>
      </c>
    </row>
    <row r="12" spans="1:7">
      <c r="A12" s="2">
        <v>91</v>
      </c>
      <c r="B12" s="2">
        <v>16001</v>
      </c>
      <c r="C12" s="2">
        <v>67679</v>
      </c>
      <c r="D12" s="2">
        <v>20830</v>
      </c>
      <c r="E12" s="2">
        <v>59354</v>
      </c>
      <c r="F12" s="2">
        <v>10377</v>
      </c>
      <c r="G12" s="2">
        <v>7424</v>
      </c>
    </row>
    <row r="13" spans="1:7">
      <c r="A13" s="2">
        <v>90</v>
      </c>
      <c r="B13" s="2">
        <v>16001</v>
      </c>
      <c r="C13" s="2">
        <v>67679</v>
      </c>
      <c r="D13" s="2">
        <v>20822</v>
      </c>
      <c r="E13" s="2">
        <v>59354</v>
      </c>
      <c r="F13" s="2">
        <v>10377</v>
      </c>
      <c r="G13" s="2">
        <v>7424</v>
      </c>
    </row>
    <row r="14" spans="1:7">
      <c r="A14" s="2">
        <v>89</v>
      </c>
      <c r="B14" s="2">
        <v>16001</v>
      </c>
      <c r="C14" s="2">
        <v>67679</v>
      </c>
      <c r="D14" s="2">
        <v>20806</v>
      </c>
      <c r="E14" s="2">
        <v>59354</v>
      </c>
      <c r="F14" s="2">
        <v>10377</v>
      </c>
      <c r="G14" s="2">
        <v>7424</v>
      </c>
    </row>
    <row r="15" spans="1:7">
      <c r="A15" s="2">
        <v>88</v>
      </c>
      <c r="B15" s="2">
        <v>16001</v>
      </c>
      <c r="C15" s="2">
        <v>67679</v>
      </c>
      <c r="D15" s="2">
        <v>20800</v>
      </c>
      <c r="E15" s="2">
        <v>59354</v>
      </c>
      <c r="F15" s="2">
        <v>10377</v>
      </c>
      <c r="G15" s="2">
        <v>7424</v>
      </c>
    </row>
    <row r="16" spans="1:7">
      <c r="A16" s="2">
        <v>87</v>
      </c>
      <c r="B16" s="2">
        <v>16001</v>
      </c>
      <c r="C16" s="2">
        <v>67679</v>
      </c>
      <c r="D16" s="2">
        <v>20788</v>
      </c>
      <c r="E16" s="2">
        <v>59354</v>
      </c>
      <c r="F16" s="2">
        <v>10377</v>
      </c>
      <c r="G16" s="2">
        <v>7424</v>
      </c>
    </row>
    <row r="17" spans="1:7">
      <c r="A17" s="2">
        <v>86</v>
      </c>
      <c r="B17" s="2">
        <v>16001</v>
      </c>
      <c r="C17" s="2">
        <v>67679</v>
      </c>
      <c r="D17" s="2">
        <v>20777</v>
      </c>
      <c r="E17" s="2">
        <v>59354</v>
      </c>
      <c r="F17" s="2">
        <v>10377</v>
      </c>
      <c r="G17" s="2">
        <v>7424</v>
      </c>
    </row>
    <row r="18" spans="1:7">
      <c r="A18" s="2">
        <v>85</v>
      </c>
      <c r="B18" s="2">
        <v>16001</v>
      </c>
      <c r="C18" s="2">
        <v>67679</v>
      </c>
      <c r="D18" s="2">
        <v>20768</v>
      </c>
      <c r="E18" s="2">
        <v>59354</v>
      </c>
      <c r="F18" s="2">
        <v>10377</v>
      </c>
      <c r="G18" s="2">
        <v>7424</v>
      </c>
    </row>
    <row r="19" spans="1:7">
      <c r="A19" s="2">
        <v>84</v>
      </c>
      <c r="B19" s="2">
        <v>16001</v>
      </c>
      <c r="C19" s="2">
        <v>67679</v>
      </c>
      <c r="D19" s="2">
        <v>20757</v>
      </c>
      <c r="E19" s="2">
        <v>59354</v>
      </c>
      <c r="F19" s="2">
        <v>10377</v>
      </c>
      <c r="G19" s="2">
        <v>7424</v>
      </c>
    </row>
    <row r="20" spans="1:7">
      <c r="A20" s="2">
        <v>83</v>
      </c>
      <c r="B20" s="2">
        <v>16001</v>
      </c>
      <c r="C20" s="2">
        <v>67679</v>
      </c>
      <c r="D20" s="2">
        <v>20743</v>
      </c>
      <c r="E20" s="2">
        <v>59354</v>
      </c>
      <c r="F20" s="2">
        <v>10377</v>
      </c>
      <c r="G20" s="2">
        <v>7424</v>
      </c>
    </row>
    <row r="21" spans="1:7">
      <c r="A21" s="2">
        <v>82</v>
      </c>
      <c r="B21" s="2">
        <v>16001</v>
      </c>
      <c r="C21" s="2">
        <v>67679</v>
      </c>
      <c r="D21" s="2">
        <v>20728</v>
      </c>
      <c r="E21" s="2">
        <v>59354</v>
      </c>
      <c r="F21" s="2">
        <v>10377</v>
      </c>
      <c r="G21" s="2">
        <v>7424</v>
      </c>
    </row>
    <row r="22" spans="1:7">
      <c r="A22" s="2">
        <v>81</v>
      </c>
      <c r="B22" s="2">
        <v>16001</v>
      </c>
      <c r="C22" s="2">
        <v>67679</v>
      </c>
      <c r="D22" s="2">
        <v>20714</v>
      </c>
      <c r="E22" s="2">
        <v>59354</v>
      </c>
      <c r="F22" s="2">
        <v>10377</v>
      </c>
      <c r="G22" s="2">
        <v>7424</v>
      </c>
    </row>
    <row r="23" spans="1:7">
      <c r="A23" s="2">
        <v>80</v>
      </c>
      <c r="B23" s="2">
        <v>16001</v>
      </c>
      <c r="C23" s="2">
        <v>67679</v>
      </c>
      <c r="D23" s="2">
        <v>20709</v>
      </c>
      <c r="E23" s="2">
        <v>59354</v>
      </c>
      <c r="F23" s="2">
        <v>10377</v>
      </c>
      <c r="G23" s="2">
        <v>7424</v>
      </c>
    </row>
    <row r="24" spans="1:7">
      <c r="A24" s="2">
        <v>79</v>
      </c>
      <c r="B24" s="2">
        <v>16001</v>
      </c>
      <c r="C24" s="2">
        <v>67679</v>
      </c>
      <c r="D24" s="2">
        <v>20696</v>
      </c>
      <c r="E24" s="2">
        <v>59354</v>
      </c>
      <c r="F24" s="2">
        <v>10377</v>
      </c>
      <c r="G24" s="2">
        <v>7424</v>
      </c>
    </row>
    <row r="25" spans="1:7">
      <c r="A25" s="2">
        <v>78</v>
      </c>
      <c r="B25" s="2">
        <v>16001</v>
      </c>
      <c r="C25" s="2">
        <v>67679</v>
      </c>
      <c r="D25" s="2">
        <v>20681</v>
      </c>
      <c r="E25" s="2">
        <v>59354</v>
      </c>
      <c r="F25" s="2">
        <v>10377</v>
      </c>
      <c r="G25" s="2">
        <v>7424</v>
      </c>
    </row>
    <row r="26" spans="1:7">
      <c r="A26" s="2">
        <v>77</v>
      </c>
      <c r="B26" s="2">
        <v>16001</v>
      </c>
      <c r="C26" s="2">
        <v>67679</v>
      </c>
      <c r="D26" s="2">
        <v>20664</v>
      </c>
      <c r="E26" s="2">
        <v>59354</v>
      </c>
      <c r="F26" s="2">
        <v>10377</v>
      </c>
      <c r="G26" s="2">
        <v>7424</v>
      </c>
    </row>
    <row r="27" spans="1:7">
      <c r="A27" s="2">
        <v>76</v>
      </c>
      <c r="B27" s="2">
        <v>16001</v>
      </c>
      <c r="C27" s="2">
        <v>67679</v>
      </c>
      <c r="D27" s="2">
        <v>20646</v>
      </c>
      <c r="E27" s="2">
        <v>59354</v>
      </c>
      <c r="F27" s="2">
        <v>10377</v>
      </c>
      <c r="G27" s="2">
        <v>7424</v>
      </c>
    </row>
    <row r="28" spans="1:7">
      <c r="A28" s="2">
        <v>75</v>
      </c>
      <c r="B28" s="2">
        <v>16001</v>
      </c>
      <c r="C28" s="2">
        <v>67679</v>
      </c>
      <c r="D28" s="2">
        <v>20633</v>
      </c>
      <c r="E28" s="2">
        <v>59354</v>
      </c>
      <c r="F28" s="2">
        <v>10377</v>
      </c>
      <c r="G28" s="2">
        <v>7424</v>
      </c>
    </row>
    <row r="29" spans="1:7">
      <c r="A29" s="2">
        <v>74</v>
      </c>
      <c r="B29" s="2">
        <v>16001</v>
      </c>
      <c r="C29" s="2">
        <v>67679</v>
      </c>
      <c r="D29" s="2">
        <v>20617</v>
      </c>
      <c r="E29" s="2">
        <v>59354</v>
      </c>
      <c r="F29" s="2">
        <v>10377</v>
      </c>
      <c r="G29" s="2">
        <v>7424</v>
      </c>
    </row>
    <row r="30" spans="1:7">
      <c r="A30" s="2">
        <v>73</v>
      </c>
      <c r="B30" s="2">
        <v>16001</v>
      </c>
      <c r="C30" s="2">
        <v>67679</v>
      </c>
      <c r="D30" s="2">
        <v>20604</v>
      </c>
      <c r="E30" s="2">
        <v>59354</v>
      </c>
      <c r="F30" s="2">
        <v>10377</v>
      </c>
      <c r="G30" s="2">
        <v>7424</v>
      </c>
    </row>
    <row r="31" spans="1:7">
      <c r="A31" s="2">
        <v>72</v>
      </c>
      <c r="B31" s="2">
        <v>16001</v>
      </c>
      <c r="C31" s="2">
        <v>67679</v>
      </c>
      <c r="D31" s="2">
        <v>20592</v>
      </c>
      <c r="E31" s="2">
        <v>59354</v>
      </c>
      <c r="F31" s="2">
        <v>10377</v>
      </c>
      <c r="G31" s="2">
        <v>7424</v>
      </c>
    </row>
    <row r="32" spans="1:7">
      <c r="A32" s="2">
        <v>71</v>
      </c>
      <c r="B32" s="2">
        <v>16001</v>
      </c>
      <c r="C32" s="2">
        <v>67679</v>
      </c>
      <c r="D32" s="2">
        <v>20582</v>
      </c>
      <c r="E32" s="2">
        <v>59354</v>
      </c>
      <c r="F32" s="2">
        <v>10377</v>
      </c>
      <c r="G32" s="2">
        <v>7424</v>
      </c>
    </row>
    <row r="33" spans="1:7">
      <c r="A33" s="2">
        <v>70</v>
      </c>
      <c r="B33" s="2">
        <v>16001</v>
      </c>
      <c r="C33" s="2">
        <v>67679</v>
      </c>
      <c r="D33" s="2">
        <v>20568</v>
      </c>
      <c r="E33" s="2">
        <v>59354</v>
      </c>
      <c r="F33" s="2">
        <v>10377</v>
      </c>
      <c r="G33" s="2">
        <v>7424</v>
      </c>
    </row>
    <row r="34" spans="1:7">
      <c r="A34" s="2">
        <v>69</v>
      </c>
      <c r="B34" s="2">
        <v>16001</v>
      </c>
      <c r="C34" s="2">
        <v>67679</v>
      </c>
      <c r="D34" s="2">
        <v>20558</v>
      </c>
      <c r="E34" s="2">
        <v>59354</v>
      </c>
      <c r="F34" s="2">
        <v>10377</v>
      </c>
      <c r="G34" s="2">
        <v>7424</v>
      </c>
    </row>
    <row r="35" spans="1:7">
      <c r="A35" s="2">
        <v>68</v>
      </c>
      <c r="B35" s="2">
        <v>16001</v>
      </c>
      <c r="C35" s="2">
        <v>67679</v>
      </c>
      <c r="D35" s="2">
        <v>20549</v>
      </c>
      <c r="E35" s="2">
        <v>59354</v>
      </c>
      <c r="F35" s="2">
        <v>10377</v>
      </c>
      <c r="G35" s="2">
        <v>7424</v>
      </c>
    </row>
    <row r="36" spans="1:7">
      <c r="A36" s="2">
        <v>67</v>
      </c>
      <c r="B36" s="2">
        <v>16001</v>
      </c>
      <c r="C36" s="2">
        <v>67679</v>
      </c>
      <c r="D36" s="2">
        <v>20533</v>
      </c>
      <c r="E36" s="2">
        <v>59354</v>
      </c>
      <c r="F36" s="2">
        <v>10377</v>
      </c>
      <c r="G36" s="2">
        <v>7424</v>
      </c>
    </row>
    <row r="37" spans="1:7">
      <c r="A37" s="2">
        <v>66</v>
      </c>
      <c r="B37" s="2">
        <v>16001</v>
      </c>
      <c r="C37" s="2">
        <v>67679</v>
      </c>
      <c r="D37" s="2">
        <v>20517</v>
      </c>
      <c r="E37" s="2">
        <v>59354</v>
      </c>
      <c r="F37" s="2">
        <v>10377</v>
      </c>
      <c r="G37" s="2">
        <v>7424</v>
      </c>
    </row>
    <row r="38" spans="1:7">
      <c r="A38" s="2">
        <v>65</v>
      </c>
      <c r="B38" s="2">
        <v>16001</v>
      </c>
      <c r="C38" s="2">
        <v>67679</v>
      </c>
      <c r="D38" s="2">
        <v>20507</v>
      </c>
      <c r="E38" s="2">
        <v>59354</v>
      </c>
      <c r="F38" s="2">
        <v>10377</v>
      </c>
      <c r="G38" s="2">
        <v>7424</v>
      </c>
    </row>
    <row r="39" spans="1:7">
      <c r="A39" s="2">
        <v>64</v>
      </c>
      <c r="B39" s="2">
        <v>16001</v>
      </c>
      <c r="C39" s="2">
        <v>67679</v>
      </c>
      <c r="D39" s="2">
        <v>20489</v>
      </c>
      <c r="E39" s="2">
        <v>59354</v>
      </c>
      <c r="F39" s="2">
        <v>10377</v>
      </c>
      <c r="G39" s="2">
        <v>7424</v>
      </c>
    </row>
    <row r="40" spans="1:7">
      <c r="A40" s="2">
        <v>63</v>
      </c>
      <c r="B40" s="2">
        <v>16001</v>
      </c>
      <c r="C40" s="2">
        <v>67679</v>
      </c>
      <c r="D40" s="2">
        <v>20467</v>
      </c>
      <c r="E40" s="2">
        <v>59354</v>
      </c>
      <c r="F40" s="2">
        <v>10377</v>
      </c>
      <c r="G40" s="2">
        <v>7424</v>
      </c>
    </row>
    <row r="41" spans="1:7">
      <c r="A41" s="2">
        <v>62</v>
      </c>
      <c r="B41" s="2">
        <v>16001</v>
      </c>
      <c r="C41" s="2">
        <v>67679</v>
      </c>
      <c r="D41" s="2">
        <v>20451</v>
      </c>
      <c r="E41" s="2">
        <v>59354</v>
      </c>
      <c r="F41" s="2">
        <v>10377</v>
      </c>
      <c r="G41" s="2">
        <v>7424</v>
      </c>
    </row>
    <row r="42" spans="1:7">
      <c r="A42" s="2">
        <v>61</v>
      </c>
      <c r="B42" s="2">
        <v>16001</v>
      </c>
      <c r="C42" s="2">
        <v>67679</v>
      </c>
      <c r="D42" s="2">
        <v>20431</v>
      </c>
      <c r="E42" s="2">
        <v>59354</v>
      </c>
      <c r="F42" s="2">
        <v>10377</v>
      </c>
      <c r="G42" s="2">
        <v>7424</v>
      </c>
    </row>
    <row r="43" spans="1:7">
      <c r="A43" s="2">
        <v>60</v>
      </c>
      <c r="B43" s="2">
        <v>16001</v>
      </c>
      <c r="C43" s="2">
        <v>67679</v>
      </c>
      <c r="D43" s="2">
        <v>20412</v>
      </c>
      <c r="E43" s="2">
        <v>59354</v>
      </c>
      <c r="F43" s="2">
        <v>10377</v>
      </c>
      <c r="G43" s="2">
        <v>7424</v>
      </c>
    </row>
    <row r="44" spans="1:7">
      <c r="A44" s="2">
        <v>59</v>
      </c>
      <c r="B44" s="2">
        <v>16001</v>
      </c>
      <c r="C44" s="2">
        <v>67679</v>
      </c>
      <c r="D44" s="2">
        <v>20396</v>
      </c>
      <c r="E44" s="2">
        <v>59354</v>
      </c>
      <c r="F44" s="2">
        <v>10377</v>
      </c>
      <c r="G44" s="2">
        <v>7424</v>
      </c>
    </row>
    <row r="45" spans="1:7">
      <c r="A45" s="2">
        <v>58</v>
      </c>
      <c r="B45" s="2">
        <v>16001</v>
      </c>
      <c r="C45" s="2">
        <v>67679</v>
      </c>
      <c r="D45" s="2">
        <v>20373</v>
      </c>
      <c r="E45" s="2">
        <v>59354</v>
      </c>
      <c r="F45" s="2">
        <v>10377</v>
      </c>
      <c r="G45" s="2">
        <v>7424</v>
      </c>
    </row>
    <row r="46" spans="1:7">
      <c r="A46" s="2">
        <v>57</v>
      </c>
      <c r="B46" s="2">
        <v>16001</v>
      </c>
      <c r="C46" s="2">
        <v>67679</v>
      </c>
      <c r="D46" s="2">
        <v>20360</v>
      </c>
      <c r="E46" s="2">
        <v>59354</v>
      </c>
      <c r="F46" s="2">
        <v>10377</v>
      </c>
      <c r="G46" s="2">
        <v>7424</v>
      </c>
    </row>
    <row r="47" spans="1:7">
      <c r="A47" s="2">
        <v>56</v>
      </c>
      <c r="B47" s="2">
        <v>16001</v>
      </c>
      <c r="C47" s="2">
        <v>67679</v>
      </c>
      <c r="D47" s="2">
        <v>20342</v>
      </c>
      <c r="E47" s="2">
        <v>59354</v>
      </c>
      <c r="F47" s="2">
        <v>10377</v>
      </c>
      <c r="G47" s="2">
        <v>7424</v>
      </c>
    </row>
    <row r="48" spans="1:7">
      <c r="A48" s="2">
        <v>55</v>
      </c>
      <c r="B48" s="2">
        <v>16001</v>
      </c>
      <c r="C48" s="2">
        <v>67679</v>
      </c>
      <c r="D48" s="2">
        <v>20316</v>
      </c>
      <c r="E48" s="2">
        <v>59354</v>
      </c>
      <c r="F48" s="2">
        <v>10377</v>
      </c>
      <c r="G48" s="2">
        <v>7424</v>
      </c>
    </row>
    <row r="49" spans="1:7">
      <c r="A49" s="2">
        <v>54</v>
      </c>
      <c r="B49" s="2">
        <v>16001</v>
      </c>
      <c r="C49" s="2">
        <v>67679</v>
      </c>
      <c r="D49" s="2">
        <v>20300</v>
      </c>
      <c r="E49" s="2">
        <v>59354</v>
      </c>
      <c r="F49" s="2">
        <v>10377</v>
      </c>
      <c r="G49" s="2">
        <v>7424</v>
      </c>
    </row>
    <row r="50" spans="1:7">
      <c r="A50" s="2">
        <v>53</v>
      </c>
      <c r="B50" s="2">
        <v>16001</v>
      </c>
      <c r="C50" s="2">
        <v>67679</v>
      </c>
      <c r="D50" s="2">
        <v>20280</v>
      </c>
      <c r="E50" s="2">
        <v>59354</v>
      </c>
      <c r="F50" s="2">
        <v>10377</v>
      </c>
      <c r="G50" s="2">
        <v>7424</v>
      </c>
    </row>
    <row r="51" spans="1:7">
      <c r="A51" s="2">
        <v>52</v>
      </c>
      <c r="B51" s="2">
        <v>16001</v>
      </c>
      <c r="C51" s="2">
        <v>67679</v>
      </c>
      <c r="D51" s="2">
        <v>20257</v>
      </c>
      <c r="E51" s="2">
        <v>59354</v>
      </c>
      <c r="F51" s="2">
        <v>10377</v>
      </c>
      <c r="G51" s="2">
        <v>7424</v>
      </c>
    </row>
    <row r="52" spans="1:7">
      <c r="A52" s="2">
        <v>51</v>
      </c>
      <c r="B52" s="2">
        <v>16001</v>
      </c>
      <c r="C52" s="2">
        <v>67679</v>
      </c>
      <c r="D52" s="2">
        <v>20238</v>
      </c>
      <c r="E52" s="2">
        <v>59354</v>
      </c>
      <c r="F52" s="2">
        <v>10377</v>
      </c>
      <c r="G52" s="2">
        <v>7424</v>
      </c>
    </row>
    <row r="53" spans="1:7">
      <c r="A53" s="2">
        <v>50</v>
      </c>
      <c r="B53" s="2">
        <v>16001</v>
      </c>
      <c r="C53" s="2">
        <v>67679</v>
      </c>
      <c r="D53" s="2">
        <v>20226</v>
      </c>
      <c r="E53" s="2">
        <v>59354</v>
      </c>
      <c r="F53" s="2">
        <v>10377</v>
      </c>
      <c r="G53" s="2">
        <v>7424</v>
      </c>
    </row>
    <row r="54" spans="1:7">
      <c r="A54" s="2">
        <v>49</v>
      </c>
      <c r="B54" s="2">
        <v>16001</v>
      </c>
      <c r="C54" s="2">
        <v>67679</v>
      </c>
      <c r="D54" s="2">
        <v>20207</v>
      </c>
      <c r="E54" s="2">
        <v>59354</v>
      </c>
      <c r="F54" s="2">
        <v>10377</v>
      </c>
      <c r="G54" s="2">
        <v>7424</v>
      </c>
    </row>
    <row r="55" spans="1:7">
      <c r="A55" s="2">
        <v>48</v>
      </c>
      <c r="B55" s="2">
        <v>16001</v>
      </c>
      <c r="C55" s="2">
        <v>67679</v>
      </c>
      <c r="D55" s="2">
        <v>20183</v>
      </c>
      <c r="E55" s="2">
        <v>59354</v>
      </c>
      <c r="F55" s="2">
        <v>10377</v>
      </c>
      <c r="G55" s="2">
        <v>7424</v>
      </c>
    </row>
    <row r="56" spans="1:7">
      <c r="A56" s="2">
        <v>47</v>
      </c>
      <c r="B56" s="2">
        <v>16001</v>
      </c>
      <c r="C56" s="2">
        <v>67679</v>
      </c>
      <c r="D56" s="2">
        <v>20162</v>
      </c>
      <c r="E56" s="2">
        <v>59354</v>
      </c>
      <c r="F56" s="2">
        <v>10377</v>
      </c>
      <c r="G56" s="2">
        <v>7424</v>
      </c>
    </row>
    <row r="57" spans="1:7">
      <c r="A57" s="2">
        <v>46</v>
      </c>
      <c r="B57" s="2">
        <v>16001</v>
      </c>
      <c r="C57" s="2">
        <v>67679</v>
      </c>
      <c r="D57" s="2">
        <v>20149</v>
      </c>
      <c r="E57" s="2">
        <v>59354</v>
      </c>
      <c r="F57" s="2">
        <v>10377</v>
      </c>
      <c r="G57" s="2">
        <v>7424</v>
      </c>
    </row>
    <row r="58" spans="1:7">
      <c r="A58" s="2">
        <v>45</v>
      </c>
      <c r="B58" s="2">
        <v>16001</v>
      </c>
      <c r="C58" s="2">
        <v>67679</v>
      </c>
      <c r="D58" s="2">
        <v>20126</v>
      </c>
      <c r="E58" s="2">
        <v>59354</v>
      </c>
      <c r="F58" s="2">
        <v>10377</v>
      </c>
      <c r="G58" s="2">
        <v>7424</v>
      </c>
    </row>
    <row r="59" spans="1:7">
      <c r="A59" s="2">
        <v>44</v>
      </c>
      <c r="B59" s="2">
        <v>16001</v>
      </c>
      <c r="C59" s="2">
        <v>67679</v>
      </c>
      <c r="D59" s="2">
        <v>20105</v>
      </c>
      <c r="E59" s="2">
        <v>59354</v>
      </c>
      <c r="F59" s="2">
        <v>10377</v>
      </c>
      <c r="G59" s="2">
        <v>7424</v>
      </c>
    </row>
    <row r="60" spans="1:7">
      <c r="A60" s="2">
        <v>43</v>
      </c>
      <c r="B60" s="2">
        <v>16001</v>
      </c>
      <c r="C60" s="2">
        <v>67679</v>
      </c>
      <c r="D60" s="2">
        <v>20081</v>
      </c>
      <c r="E60" s="2">
        <v>59354</v>
      </c>
      <c r="F60" s="2">
        <v>10377</v>
      </c>
      <c r="G60" s="2">
        <v>7424</v>
      </c>
    </row>
    <row r="61" spans="1:7">
      <c r="A61" s="2">
        <v>42</v>
      </c>
      <c r="B61" s="2">
        <v>16001</v>
      </c>
      <c r="C61" s="2">
        <v>67679</v>
      </c>
      <c r="D61" s="2">
        <v>20054</v>
      </c>
      <c r="E61" s="2">
        <v>59354</v>
      </c>
      <c r="F61" s="2">
        <v>10377</v>
      </c>
      <c r="G61" s="2">
        <v>7424</v>
      </c>
    </row>
    <row r="62" spans="1:7">
      <c r="A62" s="2">
        <v>41</v>
      </c>
      <c r="B62" s="2">
        <v>16001</v>
      </c>
      <c r="C62" s="2">
        <v>67679</v>
      </c>
      <c r="D62" s="2">
        <v>20028</v>
      </c>
      <c r="E62" s="2">
        <v>59354</v>
      </c>
      <c r="F62" s="2">
        <v>10377</v>
      </c>
      <c r="G62" s="2">
        <v>7424</v>
      </c>
    </row>
    <row r="63" spans="1:7">
      <c r="A63" s="2">
        <v>40</v>
      </c>
      <c r="B63" s="2">
        <v>16001</v>
      </c>
      <c r="C63" s="2">
        <v>67679</v>
      </c>
      <c r="D63" s="2">
        <v>20009</v>
      </c>
      <c r="E63" s="2">
        <v>59354</v>
      </c>
      <c r="F63" s="2">
        <v>10377</v>
      </c>
      <c r="G63" s="2">
        <v>7424</v>
      </c>
    </row>
    <row r="64" spans="1:7">
      <c r="A64" s="2">
        <v>39</v>
      </c>
      <c r="B64" s="2">
        <v>16001</v>
      </c>
      <c r="C64" s="2">
        <v>67679</v>
      </c>
      <c r="D64" s="2">
        <v>19992</v>
      </c>
      <c r="E64" s="2">
        <v>59354</v>
      </c>
      <c r="F64" s="2">
        <v>10377</v>
      </c>
      <c r="G64" s="2">
        <v>7424</v>
      </c>
    </row>
    <row r="65" spans="1:7">
      <c r="A65" s="2">
        <v>38</v>
      </c>
      <c r="B65" s="2">
        <v>16001</v>
      </c>
      <c r="C65" s="2">
        <v>67679</v>
      </c>
      <c r="D65" s="2">
        <v>19964</v>
      </c>
      <c r="E65" s="2">
        <v>59354</v>
      </c>
      <c r="F65" s="2">
        <v>10377</v>
      </c>
      <c r="G65" s="2">
        <v>7424</v>
      </c>
    </row>
    <row r="66" spans="1:7">
      <c r="A66" s="2">
        <v>37</v>
      </c>
      <c r="B66" s="2">
        <v>16001</v>
      </c>
      <c r="C66" s="2">
        <v>67679</v>
      </c>
      <c r="D66" s="2">
        <v>19938</v>
      </c>
      <c r="E66" s="2">
        <v>59354</v>
      </c>
      <c r="F66" s="2">
        <v>10377</v>
      </c>
      <c r="G66" s="2">
        <v>7424</v>
      </c>
    </row>
    <row r="67" spans="1:7">
      <c r="A67" s="2">
        <v>36</v>
      </c>
      <c r="B67" s="2">
        <v>16001</v>
      </c>
      <c r="C67" s="2">
        <v>67679</v>
      </c>
      <c r="D67" s="2">
        <v>19918</v>
      </c>
      <c r="E67" s="2">
        <v>59354</v>
      </c>
      <c r="F67" s="2">
        <v>10377</v>
      </c>
      <c r="G67" s="2">
        <v>7424</v>
      </c>
    </row>
    <row r="68" spans="1:7">
      <c r="A68" s="2">
        <v>35</v>
      </c>
      <c r="B68" s="2">
        <v>16001</v>
      </c>
      <c r="C68" s="2">
        <v>67679</v>
      </c>
      <c r="D68" s="2">
        <v>19895</v>
      </c>
      <c r="E68" s="2">
        <v>59354</v>
      </c>
      <c r="F68" s="2">
        <v>10377</v>
      </c>
      <c r="G68" s="2">
        <v>7424</v>
      </c>
    </row>
    <row r="69" spans="1:7">
      <c r="A69" s="2">
        <v>34</v>
      </c>
      <c r="B69" s="2">
        <v>16001</v>
      </c>
      <c r="C69" s="2">
        <v>67679</v>
      </c>
      <c r="D69" s="2">
        <v>19858</v>
      </c>
      <c r="E69" s="2">
        <v>59354</v>
      </c>
      <c r="F69" s="2">
        <v>10377</v>
      </c>
      <c r="G69" s="2">
        <v>7424</v>
      </c>
    </row>
    <row r="70" spans="1:7">
      <c r="A70" s="2">
        <v>33</v>
      </c>
      <c r="B70" s="2">
        <v>16001</v>
      </c>
      <c r="C70" s="2">
        <v>67679</v>
      </c>
      <c r="D70" s="2">
        <v>19827</v>
      </c>
      <c r="E70" s="2">
        <v>59354</v>
      </c>
      <c r="F70" s="2">
        <v>10377</v>
      </c>
      <c r="G70" s="2">
        <v>7424</v>
      </c>
    </row>
    <row r="71" spans="1:7">
      <c r="A71" s="2">
        <v>32</v>
      </c>
      <c r="B71" s="2">
        <v>16001</v>
      </c>
      <c r="C71" s="2">
        <v>67679</v>
      </c>
      <c r="D71" s="2">
        <v>19787</v>
      </c>
      <c r="E71" s="2">
        <v>59354</v>
      </c>
      <c r="F71" s="2">
        <v>10377</v>
      </c>
      <c r="G71" s="2">
        <v>7424</v>
      </c>
    </row>
    <row r="72" spans="1:7">
      <c r="A72" s="2">
        <v>31</v>
      </c>
      <c r="B72" s="2">
        <v>16001</v>
      </c>
      <c r="C72" s="2">
        <v>67679</v>
      </c>
      <c r="D72" s="2">
        <v>19752</v>
      </c>
      <c r="E72" s="2">
        <v>59354</v>
      </c>
      <c r="F72" s="2">
        <v>10377</v>
      </c>
      <c r="G72" s="2">
        <v>7424</v>
      </c>
    </row>
    <row r="73" spans="1:7">
      <c r="A73" s="2">
        <v>30</v>
      </c>
      <c r="B73" s="2">
        <v>16001</v>
      </c>
      <c r="C73" s="2">
        <v>67679</v>
      </c>
      <c r="D73" s="2">
        <v>19729</v>
      </c>
      <c r="E73" s="2">
        <v>59354</v>
      </c>
      <c r="F73" s="2">
        <v>10377</v>
      </c>
      <c r="G73" s="2">
        <v>7424</v>
      </c>
    </row>
    <row r="74" spans="1:7">
      <c r="A74" s="2">
        <v>29</v>
      </c>
      <c r="B74" s="2">
        <v>16001</v>
      </c>
      <c r="C74" s="2">
        <v>67679</v>
      </c>
      <c r="D74" s="2">
        <v>19686</v>
      </c>
      <c r="E74" s="2">
        <v>59354</v>
      </c>
      <c r="F74" s="2">
        <v>10377</v>
      </c>
      <c r="G74" s="2">
        <v>7424</v>
      </c>
    </row>
    <row r="75" spans="1:7">
      <c r="A75" s="2">
        <v>28</v>
      </c>
      <c r="B75" s="2">
        <v>16001</v>
      </c>
      <c r="C75" s="2">
        <v>67679</v>
      </c>
      <c r="D75" s="2">
        <v>19644</v>
      </c>
      <c r="E75" s="2">
        <v>59354</v>
      </c>
      <c r="F75" s="2">
        <v>10377</v>
      </c>
      <c r="G75" s="2">
        <v>7424</v>
      </c>
    </row>
    <row r="76" spans="1:7">
      <c r="A76" s="2">
        <v>27</v>
      </c>
      <c r="B76" s="2">
        <v>16001</v>
      </c>
      <c r="C76" s="2">
        <v>67679</v>
      </c>
      <c r="D76" s="2">
        <v>19601</v>
      </c>
      <c r="E76" s="2">
        <v>59354</v>
      </c>
      <c r="F76" s="2">
        <v>10377</v>
      </c>
      <c r="G76" s="2">
        <v>7424</v>
      </c>
    </row>
    <row r="77" spans="1:7">
      <c r="A77" s="2">
        <v>26</v>
      </c>
      <c r="B77" s="2">
        <v>16001</v>
      </c>
      <c r="C77" s="2">
        <v>67679</v>
      </c>
      <c r="D77" s="2">
        <v>19565</v>
      </c>
      <c r="E77" s="2">
        <v>59354</v>
      </c>
      <c r="F77" s="2">
        <v>10377</v>
      </c>
      <c r="G77" s="2">
        <v>7424</v>
      </c>
    </row>
    <row r="78" spans="1:7">
      <c r="A78" s="2">
        <v>25</v>
      </c>
      <c r="B78" s="2">
        <v>16001</v>
      </c>
      <c r="C78" s="2">
        <v>67679</v>
      </c>
      <c r="D78" s="2">
        <v>19522</v>
      </c>
      <c r="E78" s="2">
        <v>59354</v>
      </c>
      <c r="F78" s="2">
        <v>10377</v>
      </c>
      <c r="G78" s="2">
        <v>7424</v>
      </c>
    </row>
    <row r="79" spans="1:7">
      <c r="A79" s="2">
        <v>24</v>
      </c>
      <c r="B79" s="2">
        <v>16001</v>
      </c>
      <c r="C79" s="2">
        <v>67679</v>
      </c>
      <c r="D79" s="2">
        <v>19486</v>
      </c>
      <c r="E79" s="2">
        <v>59354</v>
      </c>
      <c r="F79" s="2">
        <v>10377</v>
      </c>
      <c r="G79" s="2">
        <v>7424</v>
      </c>
    </row>
    <row r="80" spans="1:7">
      <c r="A80" s="2">
        <v>23</v>
      </c>
      <c r="B80" s="2">
        <v>16001</v>
      </c>
      <c r="C80" s="2">
        <v>67679</v>
      </c>
      <c r="D80" s="2">
        <v>19449</v>
      </c>
      <c r="E80" s="2">
        <v>59354</v>
      </c>
      <c r="F80" s="2">
        <v>10377</v>
      </c>
      <c r="G80" s="2">
        <v>7424</v>
      </c>
    </row>
    <row r="81" spans="1:7">
      <c r="A81" s="2">
        <v>22</v>
      </c>
      <c r="B81" s="2">
        <v>16001</v>
      </c>
      <c r="C81" s="2">
        <v>67679</v>
      </c>
      <c r="D81" s="2">
        <v>19416</v>
      </c>
      <c r="E81" s="2">
        <v>59354</v>
      </c>
      <c r="F81" s="2">
        <v>10377</v>
      </c>
      <c r="G81" s="2">
        <v>7424</v>
      </c>
    </row>
    <row r="82" spans="1:7">
      <c r="A82" s="2">
        <v>21</v>
      </c>
      <c r="B82" s="2">
        <v>16001</v>
      </c>
      <c r="C82" s="2">
        <v>67679</v>
      </c>
      <c r="D82" s="2">
        <v>19371</v>
      </c>
      <c r="E82" s="2">
        <v>59354</v>
      </c>
      <c r="F82" s="2">
        <v>10377</v>
      </c>
      <c r="G82" s="2">
        <v>7424</v>
      </c>
    </row>
    <row r="83" spans="1:7">
      <c r="A83" s="2">
        <v>20</v>
      </c>
      <c r="B83" s="2">
        <v>16001</v>
      </c>
      <c r="C83" s="2">
        <v>67679</v>
      </c>
      <c r="D83" s="2">
        <v>19312</v>
      </c>
      <c r="E83" s="2">
        <v>59354</v>
      </c>
      <c r="F83" s="2">
        <v>10377</v>
      </c>
      <c r="G83" s="2">
        <v>7424</v>
      </c>
    </row>
    <row r="84" spans="1:7">
      <c r="A84" s="2">
        <v>19</v>
      </c>
      <c r="B84" s="2">
        <v>16001</v>
      </c>
      <c r="C84" s="2">
        <v>67679</v>
      </c>
      <c r="D84" s="2">
        <v>19264</v>
      </c>
      <c r="E84" s="2">
        <v>59354</v>
      </c>
      <c r="F84" s="2">
        <v>10377</v>
      </c>
      <c r="G84" s="2">
        <v>7424</v>
      </c>
    </row>
    <row r="85" spans="1:7">
      <c r="A85" s="2">
        <v>18</v>
      </c>
      <c r="B85" s="2">
        <v>16001</v>
      </c>
      <c r="C85" s="2">
        <v>67679</v>
      </c>
      <c r="D85" s="2">
        <v>19201</v>
      </c>
      <c r="E85" s="2">
        <v>59354</v>
      </c>
      <c r="F85" s="2">
        <v>10377</v>
      </c>
      <c r="G85" s="2">
        <v>7424</v>
      </c>
    </row>
    <row r="86" spans="1:7">
      <c r="A86" s="2">
        <v>17</v>
      </c>
      <c r="B86" s="2">
        <v>16001</v>
      </c>
      <c r="C86" s="2">
        <v>67679</v>
      </c>
      <c r="D86" s="2">
        <v>19156</v>
      </c>
      <c r="E86" s="2">
        <v>59354</v>
      </c>
      <c r="F86" s="2">
        <v>10377</v>
      </c>
      <c r="G86" s="2">
        <v>7424</v>
      </c>
    </row>
    <row r="87" spans="1:7">
      <c r="A87" s="2">
        <v>16</v>
      </c>
      <c r="B87" s="2">
        <v>16001</v>
      </c>
      <c r="C87" s="2">
        <v>67679</v>
      </c>
      <c r="D87" s="2">
        <v>19078</v>
      </c>
      <c r="E87" s="2">
        <v>59354</v>
      </c>
      <c r="F87" s="2">
        <v>10377</v>
      </c>
      <c r="G87" s="2">
        <v>7424</v>
      </c>
    </row>
    <row r="88" spans="1:7">
      <c r="A88" s="2">
        <v>15</v>
      </c>
      <c r="B88" s="2">
        <v>16001</v>
      </c>
      <c r="C88" s="2">
        <v>67679</v>
      </c>
      <c r="D88" s="2">
        <v>19028</v>
      </c>
      <c r="E88" s="2">
        <v>59354</v>
      </c>
      <c r="F88" s="2">
        <v>10377</v>
      </c>
      <c r="G88" s="2">
        <v>7424</v>
      </c>
    </row>
    <row r="89" spans="1:7">
      <c r="A89" s="2">
        <v>14</v>
      </c>
      <c r="B89" s="2">
        <v>16001</v>
      </c>
      <c r="C89" s="2">
        <v>67679</v>
      </c>
      <c r="D89" s="2">
        <v>18947</v>
      </c>
      <c r="E89" s="2">
        <v>59354</v>
      </c>
      <c r="F89" s="2">
        <v>10377</v>
      </c>
      <c r="G89" s="2">
        <v>7424</v>
      </c>
    </row>
    <row r="90" spans="1:7">
      <c r="A90" s="2">
        <v>13</v>
      </c>
      <c r="B90" s="2">
        <v>16001</v>
      </c>
      <c r="C90" s="2">
        <v>67679</v>
      </c>
      <c r="D90" s="2">
        <v>18868</v>
      </c>
      <c r="E90" s="2">
        <v>59354</v>
      </c>
      <c r="F90" s="2">
        <v>10377</v>
      </c>
      <c r="G90" s="2">
        <v>7424</v>
      </c>
    </row>
    <row r="91" spans="1:7">
      <c r="A91" s="2">
        <v>12</v>
      </c>
      <c r="B91" s="2">
        <v>16001</v>
      </c>
      <c r="C91" s="2">
        <v>67679</v>
      </c>
      <c r="D91" s="2">
        <v>18801</v>
      </c>
      <c r="E91" s="2">
        <v>59354</v>
      </c>
      <c r="F91" s="2">
        <v>10377</v>
      </c>
      <c r="G91" s="2">
        <v>7424</v>
      </c>
    </row>
    <row r="92" spans="1:7">
      <c r="A92" s="2">
        <v>11</v>
      </c>
      <c r="B92" s="2">
        <v>16001</v>
      </c>
      <c r="C92" s="2">
        <v>67679</v>
      </c>
      <c r="D92" s="2">
        <v>18678</v>
      </c>
      <c r="E92" s="2">
        <v>59354</v>
      </c>
      <c r="F92" s="2">
        <v>10377</v>
      </c>
      <c r="G92" s="2">
        <v>7424</v>
      </c>
    </row>
    <row r="93" spans="1:7">
      <c r="A93" s="2">
        <v>10</v>
      </c>
      <c r="B93" s="2">
        <v>16001</v>
      </c>
      <c r="C93" s="2">
        <v>67679</v>
      </c>
      <c r="D93" s="2">
        <v>18594</v>
      </c>
      <c r="E93" s="2">
        <v>59354</v>
      </c>
      <c r="F93" s="2">
        <v>10377</v>
      </c>
      <c r="G93" s="2">
        <v>7424</v>
      </c>
    </row>
    <row r="94" spans="1:7">
      <c r="A94" s="2">
        <v>9</v>
      </c>
      <c r="B94" s="2">
        <v>16001</v>
      </c>
      <c r="C94" s="2">
        <v>67679</v>
      </c>
      <c r="D94" s="2">
        <v>18479</v>
      </c>
      <c r="E94" s="2">
        <v>59354</v>
      </c>
      <c r="F94" s="2">
        <v>10377</v>
      </c>
      <c r="G94" s="2">
        <v>7424</v>
      </c>
    </row>
    <row r="95" spans="1:7">
      <c r="A95" s="2">
        <v>8</v>
      </c>
      <c r="B95" s="2">
        <v>16001</v>
      </c>
      <c r="C95" s="2">
        <v>67679</v>
      </c>
      <c r="D95" s="2">
        <v>18337</v>
      </c>
      <c r="E95" s="2">
        <v>59354</v>
      </c>
      <c r="F95" s="2">
        <v>10377</v>
      </c>
      <c r="G95" s="2">
        <v>7424</v>
      </c>
    </row>
    <row r="96" spans="1:7">
      <c r="A96" s="2">
        <v>7</v>
      </c>
      <c r="B96" s="2">
        <v>16001</v>
      </c>
      <c r="C96" s="2">
        <v>67679</v>
      </c>
      <c r="D96" s="2">
        <v>18208</v>
      </c>
      <c r="E96" s="2">
        <v>59354</v>
      </c>
      <c r="F96" s="2">
        <v>10377</v>
      </c>
      <c r="G96" s="2">
        <v>7424</v>
      </c>
    </row>
    <row r="97" spans="1:7">
      <c r="A97" s="2">
        <v>6</v>
      </c>
      <c r="B97" s="2">
        <v>16001</v>
      </c>
      <c r="C97" s="2">
        <v>67679</v>
      </c>
      <c r="D97" s="2">
        <v>18034</v>
      </c>
      <c r="E97" s="2">
        <v>59354</v>
      </c>
      <c r="F97" s="2">
        <v>10377</v>
      </c>
      <c r="G97" s="2">
        <v>7424</v>
      </c>
    </row>
    <row r="98" spans="1:7">
      <c r="A98" s="2">
        <v>5</v>
      </c>
      <c r="B98" s="2">
        <v>16001</v>
      </c>
      <c r="C98" s="2">
        <v>67679</v>
      </c>
      <c r="D98" s="2">
        <v>17872</v>
      </c>
      <c r="E98" s="2">
        <v>59354</v>
      </c>
      <c r="F98" s="2">
        <v>10377</v>
      </c>
      <c r="G98" s="2">
        <v>7424</v>
      </c>
    </row>
    <row r="99" spans="1:7">
      <c r="A99" s="2">
        <v>4</v>
      </c>
      <c r="B99" s="2">
        <v>16001</v>
      </c>
      <c r="C99" s="2">
        <v>67679</v>
      </c>
      <c r="D99" s="2">
        <v>17684</v>
      </c>
      <c r="E99" s="2">
        <v>59354</v>
      </c>
      <c r="F99" s="2">
        <v>10377</v>
      </c>
      <c r="G99" s="2">
        <v>7424</v>
      </c>
    </row>
    <row r="100" spans="1:7">
      <c r="A100" s="2">
        <v>3</v>
      </c>
      <c r="B100" s="2">
        <v>16001</v>
      </c>
      <c r="C100" s="2">
        <v>67679</v>
      </c>
      <c r="D100" s="2">
        <v>17468</v>
      </c>
      <c r="E100" s="2">
        <v>59354</v>
      </c>
      <c r="F100" s="2">
        <v>10377</v>
      </c>
      <c r="G100" s="2">
        <v>7424</v>
      </c>
    </row>
    <row r="101" spans="1:7">
      <c r="A101" s="2">
        <v>2</v>
      </c>
      <c r="B101" s="2">
        <v>16001</v>
      </c>
      <c r="C101" s="2">
        <v>67679</v>
      </c>
      <c r="D101" s="2">
        <v>17249</v>
      </c>
      <c r="E101" s="2">
        <v>59354</v>
      </c>
      <c r="F101" s="2">
        <v>10377</v>
      </c>
      <c r="G101" s="2">
        <v>7424</v>
      </c>
    </row>
    <row r="102" spans="1:7">
      <c r="A102" s="2">
        <v>1</v>
      </c>
      <c r="B102" s="2">
        <v>16001</v>
      </c>
      <c r="C102" s="2">
        <v>67679</v>
      </c>
      <c r="D102" s="2">
        <v>16991</v>
      </c>
      <c r="E102" s="2">
        <v>59354</v>
      </c>
      <c r="F102" s="2">
        <v>10377</v>
      </c>
      <c r="G102" s="2">
        <v>7424</v>
      </c>
    </row>
    <row r="103" spans="1:7">
      <c r="A103" s="2">
        <v>0</v>
      </c>
      <c r="B103" s="2">
        <v>16001</v>
      </c>
      <c r="C103" s="2">
        <v>67679</v>
      </c>
      <c r="D103" s="2">
        <v>16739</v>
      </c>
      <c r="E103" s="2">
        <v>59354</v>
      </c>
      <c r="F103" s="2">
        <v>10377</v>
      </c>
      <c r="G103" s="2">
        <v>7424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813E-03CA-874D-AD95-996D6C25389B}">
  <dimension ref="A1:G54"/>
  <sheetViews>
    <sheetView workbookViewId="0">
      <selection activeCell="A2" sqref="A2"/>
    </sheetView>
  </sheetViews>
  <sheetFormatPr baseColWidth="10" defaultRowHeight="16"/>
  <cols>
    <col min="1" max="1" width="15" customWidth="1"/>
  </cols>
  <sheetData>
    <row r="1" spans="1:7">
      <c r="A1" s="9" t="s">
        <v>123</v>
      </c>
      <c r="B1" s="9"/>
      <c r="C1" s="9"/>
      <c r="D1" s="9"/>
      <c r="E1" s="9"/>
    </row>
    <row r="3" spans="1:7">
      <c r="A3" s="1" t="s">
        <v>120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96</v>
      </c>
    </row>
    <row r="4" spans="1:7">
      <c r="A4" s="2">
        <v>-50</v>
      </c>
      <c r="B4" s="2">
        <v>16001</v>
      </c>
      <c r="C4" s="2">
        <v>67679</v>
      </c>
      <c r="D4" s="2">
        <v>20905</v>
      </c>
      <c r="E4" s="2">
        <v>59354</v>
      </c>
      <c r="F4" s="2">
        <v>10377</v>
      </c>
      <c r="G4" s="2">
        <v>7424</v>
      </c>
    </row>
    <row r="5" spans="1:7">
      <c r="A5" s="2">
        <v>-49</v>
      </c>
      <c r="B5" s="2">
        <v>16001</v>
      </c>
      <c r="C5" s="2">
        <v>67679</v>
      </c>
      <c r="D5" s="2">
        <v>20905</v>
      </c>
      <c r="E5" s="2">
        <v>59354</v>
      </c>
      <c r="F5" s="2">
        <v>10377</v>
      </c>
      <c r="G5" s="2">
        <v>7424</v>
      </c>
    </row>
    <row r="6" spans="1:7">
      <c r="A6" s="2">
        <v>-48</v>
      </c>
      <c r="B6" s="2">
        <v>16001</v>
      </c>
      <c r="C6" s="2">
        <v>67679</v>
      </c>
      <c r="D6" s="2">
        <v>20905</v>
      </c>
      <c r="E6" s="2">
        <v>59354</v>
      </c>
      <c r="F6" s="2">
        <v>10377</v>
      </c>
      <c r="G6" s="2">
        <v>7424</v>
      </c>
    </row>
    <row r="7" spans="1:7">
      <c r="A7" s="2">
        <v>-47</v>
      </c>
      <c r="B7" s="2">
        <v>16001</v>
      </c>
      <c r="C7" s="2">
        <v>67679</v>
      </c>
      <c r="D7" s="2">
        <v>20905</v>
      </c>
      <c r="E7" s="2">
        <v>59354</v>
      </c>
      <c r="F7" s="2">
        <v>10377</v>
      </c>
      <c r="G7" s="2">
        <v>7424</v>
      </c>
    </row>
    <row r="8" spans="1:7">
      <c r="A8" s="2">
        <v>-46</v>
      </c>
      <c r="B8" s="2">
        <v>16001</v>
      </c>
      <c r="C8" s="2">
        <v>67679</v>
      </c>
      <c r="D8" s="2">
        <v>20905</v>
      </c>
      <c r="E8" s="2">
        <v>59354</v>
      </c>
      <c r="F8" s="2">
        <v>10377</v>
      </c>
      <c r="G8" s="2">
        <v>7424</v>
      </c>
    </row>
    <row r="9" spans="1:7">
      <c r="A9" s="2">
        <v>-45</v>
      </c>
      <c r="B9" s="2">
        <v>16001</v>
      </c>
      <c r="C9" s="2">
        <v>67679</v>
      </c>
      <c r="D9" s="2">
        <v>20905</v>
      </c>
      <c r="E9" s="2">
        <v>59354</v>
      </c>
      <c r="F9" s="2">
        <v>10377</v>
      </c>
      <c r="G9" s="2">
        <v>7424</v>
      </c>
    </row>
    <row r="10" spans="1:7">
      <c r="A10" s="2">
        <v>-44</v>
      </c>
      <c r="B10" s="2">
        <v>16001</v>
      </c>
      <c r="C10" s="2">
        <v>67679</v>
      </c>
      <c r="D10" s="2">
        <v>20868</v>
      </c>
      <c r="E10" s="2">
        <v>59354</v>
      </c>
      <c r="F10" s="2">
        <v>10377</v>
      </c>
      <c r="G10" s="2">
        <v>7424</v>
      </c>
    </row>
    <row r="11" spans="1:7">
      <c r="A11" s="2">
        <v>-43</v>
      </c>
      <c r="B11" s="2">
        <v>16001</v>
      </c>
      <c r="C11" s="2">
        <v>67679</v>
      </c>
      <c r="D11" s="2">
        <v>20839</v>
      </c>
      <c r="E11" s="2">
        <v>59354</v>
      </c>
      <c r="F11" s="2">
        <v>10377</v>
      </c>
      <c r="G11" s="2">
        <v>7424</v>
      </c>
    </row>
    <row r="12" spans="1:7">
      <c r="A12" s="2">
        <v>-42</v>
      </c>
      <c r="B12" s="2">
        <v>16001</v>
      </c>
      <c r="C12" s="2">
        <v>67679</v>
      </c>
      <c r="D12" s="2">
        <v>20791</v>
      </c>
      <c r="E12" s="2">
        <v>59354</v>
      </c>
      <c r="F12" s="2">
        <v>10377</v>
      </c>
      <c r="G12" s="2">
        <v>7424</v>
      </c>
    </row>
    <row r="13" spans="1:7">
      <c r="A13" s="2">
        <v>-41</v>
      </c>
      <c r="B13" s="2">
        <v>16001</v>
      </c>
      <c r="C13" s="2">
        <v>67679</v>
      </c>
      <c r="D13" s="2">
        <v>20744</v>
      </c>
      <c r="E13" s="2">
        <v>59354</v>
      </c>
      <c r="F13" s="2">
        <v>10377</v>
      </c>
      <c r="G13" s="2">
        <v>7424</v>
      </c>
    </row>
    <row r="14" spans="1:7">
      <c r="A14" s="2">
        <v>-40</v>
      </c>
      <c r="B14" s="2">
        <v>16001</v>
      </c>
      <c r="C14" s="2">
        <v>67679</v>
      </c>
      <c r="D14" s="2">
        <v>20708</v>
      </c>
      <c r="E14" s="2">
        <v>59354</v>
      </c>
      <c r="F14" s="2">
        <v>10377</v>
      </c>
      <c r="G14" s="2">
        <v>7424</v>
      </c>
    </row>
    <row r="15" spans="1:7">
      <c r="A15" s="2">
        <v>-39</v>
      </c>
      <c r="B15" s="2">
        <v>16001</v>
      </c>
      <c r="C15" s="2">
        <v>67679</v>
      </c>
      <c r="D15" s="2">
        <v>20671</v>
      </c>
      <c r="E15" s="2">
        <v>59354</v>
      </c>
      <c r="F15" s="2">
        <v>10377</v>
      </c>
      <c r="G15" s="2">
        <v>7424</v>
      </c>
    </row>
    <row r="16" spans="1:7">
      <c r="A16" s="2">
        <v>-38</v>
      </c>
      <c r="B16" s="2">
        <v>16001</v>
      </c>
      <c r="C16" s="2">
        <v>67679</v>
      </c>
      <c r="D16" s="2">
        <v>20616</v>
      </c>
      <c r="E16" s="2">
        <v>59354</v>
      </c>
      <c r="F16" s="2">
        <v>10377</v>
      </c>
      <c r="G16" s="2">
        <v>7424</v>
      </c>
    </row>
    <row r="17" spans="1:7">
      <c r="A17" s="2">
        <v>-37</v>
      </c>
      <c r="B17" s="2">
        <v>16001</v>
      </c>
      <c r="C17" s="2">
        <v>67679</v>
      </c>
      <c r="D17" s="2">
        <v>20574</v>
      </c>
      <c r="E17" s="2">
        <v>59354</v>
      </c>
      <c r="F17" s="2">
        <v>10377</v>
      </c>
      <c r="G17" s="2">
        <v>7424</v>
      </c>
    </row>
    <row r="18" spans="1:7">
      <c r="A18" s="2">
        <v>-36</v>
      </c>
      <c r="B18" s="2">
        <v>16001</v>
      </c>
      <c r="C18" s="2">
        <v>67679</v>
      </c>
      <c r="D18" s="2">
        <v>20532</v>
      </c>
      <c r="E18" s="2">
        <v>59354</v>
      </c>
      <c r="F18" s="2">
        <v>10377</v>
      </c>
      <c r="G18" s="2">
        <v>7424</v>
      </c>
    </row>
    <row r="19" spans="1:7">
      <c r="A19" s="2">
        <v>-35</v>
      </c>
      <c r="B19" s="2">
        <v>16001</v>
      </c>
      <c r="C19" s="2">
        <v>67679</v>
      </c>
      <c r="D19" s="2">
        <v>20499</v>
      </c>
      <c r="E19" s="2">
        <v>59354</v>
      </c>
      <c r="F19" s="2">
        <v>10377</v>
      </c>
      <c r="G19" s="2">
        <v>7424</v>
      </c>
    </row>
    <row r="20" spans="1:7">
      <c r="A20" s="2">
        <v>-34</v>
      </c>
      <c r="B20" s="2">
        <v>16001</v>
      </c>
      <c r="C20" s="2">
        <v>67679</v>
      </c>
      <c r="D20" s="2">
        <v>20478</v>
      </c>
      <c r="E20" s="2">
        <v>59354</v>
      </c>
      <c r="F20" s="2">
        <v>10377</v>
      </c>
      <c r="G20" s="2">
        <v>7424</v>
      </c>
    </row>
    <row r="21" spans="1:7">
      <c r="A21" s="2">
        <v>-33</v>
      </c>
      <c r="B21" s="2">
        <v>16001</v>
      </c>
      <c r="C21" s="2">
        <v>67679</v>
      </c>
      <c r="D21" s="2">
        <v>20441</v>
      </c>
      <c r="E21" s="2">
        <v>59354</v>
      </c>
      <c r="F21" s="2">
        <v>10377</v>
      </c>
      <c r="G21" s="2">
        <v>7424</v>
      </c>
    </row>
    <row r="22" spans="1:7">
      <c r="A22" s="2">
        <v>-32</v>
      </c>
      <c r="B22" s="2">
        <v>16001</v>
      </c>
      <c r="C22" s="2">
        <v>67679</v>
      </c>
      <c r="D22" s="2">
        <v>20402</v>
      </c>
      <c r="E22" s="2">
        <v>59354</v>
      </c>
      <c r="F22" s="2">
        <v>10377</v>
      </c>
      <c r="G22" s="2">
        <v>7424</v>
      </c>
    </row>
    <row r="23" spans="1:7">
      <c r="A23" s="2">
        <v>-31</v>
      </c>
      <c r="B23" s="2">
        <v>16001</v>
      </c>
      <c r="C23" s="2">
        <v>67679</v>
      </c>
      <c r="D23" s="2">
        <v>20365</v>
      </c>
      <c r="E23" s="2">
        <v>59354</v>
      </c>
      <c r="F23" s="2">
        <v>10377</v>
      </c>
      <c r="G23" s="2">
        <v>7424</v>
      </c>
    </row>
    <row r="24" spans="1:7">
      <c r="A24" s="2">
        <v>-30</v>
      </c>
      <c r="B24" s="2">
        <v>16001</v>
      </c>
      <c r="C24" s="2">
        <v>67679</v>
      </c>
      <c r="D24" s="2">
        <v>20309</v>
      </c>
      <c r="E24" s="2">
        <v>59354</v>
      </c>
      <c r="F24" s="2">
        <v>10377</v>
      </c>
      <c r="G24" s="2">
        <v>7424</v>
      </c>
    </row>
    <row r="25" spans="1:7">
      <c r="A25" s="2">
        <v>-29</v>
      </c>
      <c r="B25" s="2">
        <v>16001</v>
      </c>
      <c r="C25" s="2">
        <v>67679</v>
      </c>
      <c r="D25" s="2">
        <v>20256</v>
      </c>
      <c r="E25" s="2">
        <v>59354</v>
      </c>
      <c r="F25" s="2">
        <v>10377</v>
      </c>
      <c r="G25" s="2">
        <v>7424</v>
      </c>
    </row>
    <row r="26" spans="1:7">
      <c r="A26" s="2">
        <v>-28</v>
      </c>
      <c r="B26" s="2">
        <v>16001</v>
      </c>
      <c r="C26" s="2">
        <v>67679</v>
      </c>
      <c r="D26" s="2">
        <v>20199</v>
      </c>
      <c r="E26" s="2">
        <v>59354</v>
      </c>
      <c r="F26" s="2">
        <v>10377</v>
      </c>
      <c r="G26" s="2">
        <v>7424</v>
      </c>
    </row>
    <row r="27" spans="1:7">
      <c r="A27" s="2">
        <v>-27</v>
      </c>
      <c r="B27" s="2">
        <v>16001</v>
      </c>
      <c r="C27" s="2">
        <v>67679</v>
      </c>
      <c r="D27" s="2">
        <v>20123</v>
      </c>
      <c r="E27" s="2">
        <v>59354</v>
      </c>
      <c r="F27" s="2">
        <v>10377</v>
      </c>
      <c r="G27" s="2">
        <v>7424</v>
      </c>
    </row>
    <row r="28" spans="1:7">
      <c r="A28" s="2">
        <v>-26</v>
      </c>
      <c r="B28" s="2">
        <v>16001</v>
      </c>
      <c r="C28" s="2">
        <v>67679</v>
      </c>
      <c r="D28" s="2">
        <v>20055</v>
      </c>
      <c r="E28" s="2">
        <v>59354</v>
      </c>
      <c r="F28" s="2">
        <v>10377</v>
      </c>
      <c r="G28" s="2">
        <v>7424</v>
      </c>
    </row>
    <row r="29" spans="1:7">
      <c r="A29" s="2">
        <v>-25</v>
      </c>
      <c r="B29" s="2">
        <v>16001</v>
      </c>
      <c r="C29" s="2">
        <v>67679</v>
      </c>
      <c r="D29" s="2">
        <v>20003</v>
      </c>
      <c r="E29" s="2">
        <v>59354</v>
      </c>
      <c r="F29" s="2">
        <v>10377</v>
      </c>
      <c r="G29" s="2">
        <v>7424</v>
      </c>
    </row>
    <row r="30" spans="1:7">
      <c r="A30" s="2">
        <v>-24</v>
      </c>
      <c r="B30" s="2">
        <v>16001</v>
      </c>
      <c r="C30" s="2">
        <v>67679</v>
      </c>
      <c r="D30" s="2">
        <v>19918</v>
      </c>
      <c r="E30" s="2">
        <v>59354</v>
      </c>
      <c r="F30" s="2">
        <v>10377</v>
      </c>
      <c r="G30" s="2">
        <v>7424</v>
      </c>
    </row>
    <row r="31" spans="1:7">
      <c r="A31" s="2">
        <v>-23</v>
      </c>
      <c r="B31" s="2">
        <v>16001</v>
      </c>
      <c r="C31" s="2">
        <v>67679</v>
      </c>
      <c r="D31" s="2">
        <v>19834</v>
      </c>
      <c r="E31" s="2">
        <v>59354</v>
      </c>
      <c r="F31" s="2">
        <v>10377</v>
      </c>
      <c r="G31" s="2">
        <v>7424</v>
      </c>
    </row>
    <row r="32" spans="1:7">
      <c r="A32" s="2">
        <v>-22</v>
      </c>
      <c r="B32" s="2">
        <v>16001</v>
      </c>
      <c r="C32" s="2">
        <v>67679</v>
      </c>
      <c r="D32" s="2">
        <v>19712</v>
      </c>
      <c r="E32" s="2">
        <v>59354</v>
      </c>
      <c r="F32" s="2">
        <v>10377</v>
      </c>
      <c r="G32" s="2">
        <v>7424</v>
      </c>
    </row>
    <row r="33" spans="1:7">
      <c r="A33" s="2">
        <v>-21</v>
      </c>
      <c r="B33" s="2">
        <v>16001</v>
      </c>
      <c r="C33" s="2">
        <v>67679</v>
      </c>
      <c r="D33" s="2">
        <v>19578</v>
      </c>
      <c r="E33" s="2">
        <v>59354</v>
      </c>
      <c r="F33" s="2">
        <v>10377</v>
      </c>
      <c r="G33" s="2">
        <v>7424</v>
      </c>
    </row>
    <row r="34" spans="1:7">
      <c r="A34" s="2">
        <v>-20</v>
      </c>
      <c r="B34" s="2">
        <v>16001</v>
      </c>
      <c r="C34" s="2">
        <v>67679</v>
      </c>
      <c r="D34" s="2">
        <v>19445</v>
      </c>
      <c r="E34" s="2">
        <v>59354</v>
      </c>
      <c r="F34" s="2">
        <v>10377</v>
      </c>
      <c r="G34" s="2">
        <v>7424</v>
      </c>
    </row>
    <row r="35" spans="1:7">
      <c r="A35" s="2">
        <v>-19</v>
      </c>
      <c r="B35" s="2">
        <v>16001</v>
      </c>
      <c r="C35" s="2">
        <v>67679</v>
      </c>
      <c r="D35" s="2">
        <v>19234</v>
      </c>
      <c r="E35" s="2">
        <v>59354</v>
      </c>
      <c r="F35" s="2">
        <v>10377</v>
      </c>
      <c r="G35" s="2">
        <v>7424</v>
      </c>
    </row>
    <row r="36" spans="1:7">
      <c r="A36" s="2">
        <v>-18</v>
      </c>
      <c r="B36" s="2">
        <v>16001</v>
      </c>
      <c r="C36" s="2">
        <v>67679</v>
      </c>
      <c r="D36" s="2">
        <v>19009</v>
      </c>
      <c r="E36" s="2">
        <v>59354</v>
      </c>
      <c r="F36" s="2">
        <v>10377</v>
      </c>
      <c r="G36" s="2">
        <v>7424</v>
      </c>
    </row>
    <row r="37" spans="1:7">
      <c r="A37" s="2">
        <v>-17</v>
      </c>
      <c r="B37" s="2">
        <v>16001</v>
      </c>
      <c r="C37" s="2">
        <v>67679</v>
      </c>
      <c r="D37" s="2">
        <v>18727</v>
      </c>
      <c r="E37" s="2">
        <v>59354</v>
      </c>
      <c r="F37" s="2">
        <v>10377</v>
      </c>
      <c r="G37" s="2">
        <v>7424</v>
      </c>
    </row>
    <row r="38" spans="1:7">
      <c r="A38" s="2">
        <v>-16</v>
      </c>
      <c r="B38" s="2">
        <v>16001</v>
      </c>
      <c r="C38" s="2">
        <v>67679</v>
      </c>
      <c r="D38" s="2">
        <v>18444</v>
      </c>
      <c r="E38" s="2">
        <v>59354</v>
      </c>
      <c r="F38" s="2">
        <v>10377</v>
      </c>
      <c r="G38" s="2">
        <v>7424</v>
      </c>
    </row>
    <row r="39" spans="1:7">
      <c r="A39" s="2">
        <v>-15</v>
      </c>
      <c r="B39" s="2">
        <v>16001</v>
      </c>
      <c r="C39" s="2">
        <v>67679</v>
      </c>
      <c r="D39" s="2">
        <v>18114</v>
      </c>
      <c r="E39" s="2">
        <v>59354</v>
      </c>
      <c r="F39" s="2">
        <v>10377</v>
      </c>
      <c r="G39" s="2">
        <v>7424</v>
      </c>
    </row>
    <row r="40" spans="1:7">
      <c r="A40" s="2">
        <v>-14</v>
      </c>
      <c r="B40" s="2">
        <v>16001</v>
      </c>
      <c r="C40" s="2">
        <v>67679</v>
      </c>
      <c r="D40" s="2">
        <v>17801</v>
      </c>
      <c r="E40" s="2">
        <v>59354</v>
      </c>
      <c r="F40" s="2">
        <v>10377</v>
      </c>
      <c r="G40" s="2">
        <v>7424</v>
      </c>
    </row>
    <row r="41" spans="1:7">
      <c r="A41" s="2">
        <v>-13</v>
      </c>
      <c r="B41" s="2">
        <v>16001</v>
      </c>
      <c r="C41" s="2">
        <v>67679</v>
      </c>
      <c r="D41" s="2">
        <v>17524</v>
      </c>
      <c r="E41" s="2">
        <v>59354</v>
      </c>
      <c r="F41" s="2">
        <v>10377</v>
      </c>
      <c r="G41" s="2">
        <v>7424</v>
      </c>
    </row>
    <row r="42" spans="1:7">
      <c r="A42" s="2">
        <v>-12</v>
      </c>
      <c r="B42" s="2">
        <v>16001</v>
      </c>
      <c r="C42" s="2">
        <v>67679</v>
      </c>
      <c r="D42" s="2">
        <v>17252</v>
      </c>
      <c r="E42" s="2">
        <v>59354</v>
      </c>
      <c r="F42" s="2">
        <v>10377</v>
      </c>
      <c r="G42" s="2">
        <v>7424</v>
      </c>
    </row>
    <row r="43" spans="1:7">
      <c r="A43" s="2">
        <v>-11</v>
      </c>
      <c r="B43" s="2">
        <v>16001</v>
      </c>
      <c r="C43" s="2">
        <v>67679</v>
      </c>
      <c r="D43" s="2">
        <v>17098</v>
      </c>
      <c r="E43" s="2">
        <v>59354</v>
      </c>
      <c r="F43" s="2">
        <v>10377</v>
      </c>
      <c r="G43" s="2">
        <v>7424</v>
      </c>
    </row>
    <row r="44" spans="1:7">
      <c r="A44" s="2">
        <v>-10</v>
      </c>
      <c r="B44" s="2">
        <v>16001</v>
      </c>
      <c r="C44" s="2">
        <v>67679</v>
      </c>
      <c r="D44" s="2">
        <v>16989</v>
      </c>
      <c r="E44" s="2">
        <v>59354</v>
      </c>
      <c r="F44" s="2">
        <v>10377</v>
      </c>
      <c r="G44" s="2">
        <v>7424</v>
      </c>
    </row>
    <row r="45" spans="1:7">
      <c r="A45" s="2">
        <v>-9</v>
      </c>
      <c r="B45" s="2">
        <v>16001</v>
      </c>
      <c r="C45" s="2">
        <v>67679</v>
      </c>
      <c r="D45" s="2">
        <v>16918</v>
      </c>
      <c r="E45" s="2">
        <v>59354</v>
      </c>
      <c r="F45" s="2">
        <v>10377</v>
      </c>
      <c r="G45" s="2">
        <v>7424</v>
      </c>
    </row>
    <row r="46" spans="1:7">
      <c r="A46" s="2">
        <v>-8</v>
      </c>
      <c r="B46" s="2">
        <v>16001</v>
      </c>
      <c r="C46" s="2">
        <v>67679</v>
      </c>
      <c r="D46" s="2">
        <v>16837</v>
      </c>
      <c r="E46" s="2">
        <v>59354</v>
      </c>
      <c r="F46" s="2">
        <v>10377</v>
      </c>
      <c r="G46" s="2">
        <v>7424</v>
      </c>
    </row>
    <row r="47" spans="1:7">
      <c r="A47" s="2">
        <v>-7</v>
      </c>
      <c r="B47" s="2">
        <v>16001</v>
      </c>
      <c r="C47" s="2">
        <v>67679</v>
      </c>
      <c r="D47" s="2">
        <v>16761</v>
      </c>
      <c r="E47" s="2">
        <v>59354</v>
      </c>
      <c r="F47" s="2">
        <v>10377</v>
      </c>
      <c r="G47" s="2">
        <v>7424</v>
      </c>
    </row>
    <row r="48" spans="1:7">
      <c r="A48" s="2">
        <v>-6</v>
      </c>
      <c r="B48" s="2">
        <v>16001</v>
      </c>
      <c r="C48" s="2">
        <v>67679</v>
      </c>
      <c r="D48" s="2">
        <v>16702</v>
      </c>
      <c r="E48" s="2">
        <v>59354</v>
      </c>
      <c r="F48" s="2">
        <v>10377</v>
      </c>
      <c r="G48" s="2">
        <v>7424</v>
      </c>
    </row>
    <row r="49" spans="1:7">
      <c r="A49" s="2">
        <v>-5</v>
      </c>
      <c r="B49" s="2">
        <v>16001</v>
      </c>
      <c r="C49" s="2">
        <v>67679</v>
      </c>
      <c r="D49" s="2">
        <v>16641</v>
      </c>
      <c r="E49" s="2">
        <v>59354</v>
      </c>
      <c r="F49" s="2">
        <v>10377</v>
      </c>
      <c r="G49" s="2">
        <v>7424</v>
      </c>
    </row>
    <row r="50" spans="1:7">
      <c r="A50" s="2">
        <v>-4</v>
      </c>
      <c r="B50" s="2">
        <v>16001</v>
      </c>
      <c r="C50" s="2">
        <v>67679</v>
      </c>
      <c r="D50" s="2">
        <v>16605</v>
      </c>
      <c r="E50" s="2">
        <v>59354</v>
      </c>
      <c r="F50" s="2">
        <v>10377</v>
      </c>
      <c r="G50" s="2">
        <v>7424</v>
      </c>
    </row>
    <row r="51" spans="1:7">
      <c r="A51" s="2">
        <v>-3</v>
      </c>
      <c r="B51" s="2">
        <v>16001</v>
      </c>
      <c r="C51" s="2">
        <v>67679</v>
      </c>
      <c r="D51" s="2">
        <v>16564</v>
      </c>
      <c r="E51" s="2">
        <v>59354</v>
      </c>
      <c r="F51" s="2">
        <v>10377</v>
      </c>
      <c r="G51" s="2">
        <v>7424</v>
      </c>
    </row>
    <row r="52" spans="1:7">
      <c r="A52" s="2">
        <v>-2</v>
      </c>
      <c r="B52" s="2">
        <v>16001</v>
      </c>
      <c r="C52" s="2">
        <v>67679</v>
      </c>
      <c r="D52" s="2">
        <v>16520</v>
      </c>
      <c r="E52" s="2">
        <v>59354</v>
      </c>
      <c r="F52" s="2">
        <v>10377</v>
      </c>
      <c r="G52" s="2">
        <v>7424</v>
      </c>
    </row>
    <row r="53" spans="1:7">
      <c r="A53" s="2">
        <v>-1</v>
      </c>
      <c r="B53" s="2">
        <v>16001</v>
      </c>
      <c r="C53" s="2">
        <v>67679</v>
      </c>
      <c r="D53" s="2">
        <v>16513</v>
      </c>
      <c r="E53" s="2">
        <v>59354</v>
      </c>
      <c r="F53" s="2">
        <v>10377</v>
      </c>
      <c r="G53" s="2">
        <v>7424</v>
      </c>
    </row>
    <row r="54" spans="1:7">
      <c r="A54" s="2">
        <v>0</v>
      </c>
      <c r="B54" s="2">
        <v>16001</v>
      </c>
      <c r="C54" s="2">
        <v>67679</v>
      </c>
      <c r="D54" s="2">
        <v>16506</v>
      </c>
      <c r="E54" s="2">
        <v>59354</v>
      </c>
      <c r="F54" s="2">
        <v>10377</v>
      </c>
      <c r="G54" s="2">
        <v>7424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4745-0037-1945-B2C1-1732C0AB8B8E}">
  <dimension ref="A1:C10"/>
  <sheetViews>
    <sheetView zoomScale="125" zoomScaleNormal="125" workbookViewId="0">
      <selection activeCell="A2" sqref="A2"/>
    </sheetView>
  </sheetViews>
  <sheetFormatPr baseColWidth="10" defaultRowHeight="16"/>
  <cols>
    <col min="1" max="1" width="25.28515625" customWidth="1"/>
    <col min="2" max="2" width="34.7109375" customWidth="1"/>
    <col min="3" max="3" width="142.140625" customWidth="1"/>
  </cols>
  <sheetData>
    <row r="1" spans="1:3">
      <c r="A1" s="9" t="s">
        <v>121</v>
      </c>
      <c r="B1" s="9"/>
      <c r="C1" s="9"/>
    </row>
    <row r="4" spans="1:3">
      <c r="A4" s="1" t="s">
        <v>88</v>
      </c>
      <c r="B4" s="1" t="s">
        <v>89</v>
      </c>
      <c r="C4" s="1" t="s">
        <v>90</v>
      </c>
    </row>
    <row r="5" spans="1:3" ht="56">
      <c r="A5" s="15" t="s">
        <v>91</v>
      </c>
      <c r="B5" s="16" t="s">
        <v>97</v>
      </c>
      <c r="C5" s="16" t="s">
        <v>106</v>
      </c>
    </row>
    <row r="6" spans="1:3" ht="56">
      <c r="A6" s="17" t="s">
        <v>92</v>
      </c>
      <c r="B6" s="16" t="s">
        <v>98</v>
      </c>
      <c r="C6" s="16" t="s">
        <v>106</v>
      </c>
    </row>
    <row r="7" spans="1:3" ht="70" customHeight="1">
      <c r="A7" s="17" t="s">
        <v>93</v>
      </c>
      <c r="B7" s="16" t="s">
        <v>99</v>
      </c>
      <c r="C7" s="16" t="s">
        <v>107</v>
      </c>
    </row>
    <row r="8" spans="1:3" ht="70">
      <c r="A8" s="17" t="s">
        <v>94</v>
      </c>
      <c r="B8" s="16" t="s">
        <v>100</v>
      </c>
      <c r="C8" s="16" t="s">
        <v>108</v>
      </c>
    </row>
    <row r="9" spans="1:3" ht="70">
      <c r="A9" s="17" t="s">
        <v>95</v>
      </c>
      <c r="B9" s="16" t="s">
        <v>101</v>
      </c>
      <c r="C9" s="16" t="s">
        <v>109</v>
      </c>
    </row>
    <row r="10" spans="1:3" ht="42">
      <c r="A10" s="17" t="s">
        <v>96</v>
      </c>
      <c r="B10" s="16" t="s">
        <v>102</v>
      </c>
      <c r="C10" s="16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Inventory</vt:lpstr>
      <vt:lpstr>Table S1A</vt:lpstr>
      <vt:lpstr>Table S1B</vt:lpstr>
      <vt:lpstr>Table S1C</vt:lpstr>
      <vt:lpstr>Table S1D</vt:lpstr>
      <vt:lpstr>Table S1E</vt:lpstr>
      <vt:lpstr>Table S1F</vt:lpstr>
      <vt:lpstr>Table S1G</vt:lpstr>
      <vt:lpstr>Table S1H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Englander</dc:creator>
  <cp:lastModifiedBy>Englander, Ryan</cp:lastModifiedBy>
  <dcterms:created xsi:type="dcterms:W3CDTF">2025-02-08T23:55:45Z</dcterms:created>
  <dcterms:modified xsi:type="dcterms:W3CDTF">2026-06-03T15:49:33Z</dcterms:modified>
</cp:coreProperties>
</file>